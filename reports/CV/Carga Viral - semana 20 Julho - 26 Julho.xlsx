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97" firstSheet="0" activeTab="0" autoFilterDateGrouping="1"/>
  </bookViews>
  <sheets>
    <sheet name="Capacidade Laboratorial" sheetId="1" state="visible" r:id="rId1"/>
    <sheet name="Amostras não processadas" sheetId="2" state="visible" r:id="rId2"/>
    <sheet name="Monitoria das Amostras" sheetId="3" state="visible" r:id="rId3"/>
    <sheet name="TRL por US" sheetId="4" state="visible" r:id="rId4"/>
    <sheet name="Tempo de Transport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FFFF"/>
      <sz val="11"/>
      <scheme val="minor"/>
    </font>
    <font>
      <b val="1"/>
    </font>
  </fonts>
  <fills count="2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DFC6F4"/>
        <bgColor indexed="64"/>
      </patternFill>
    </fill>
    <fill>
      <patternFill patternType="solid">
        <fgColor rgb="00FFF2CC"/>
        <bgColor rgb="00FFF2CC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/>
      <right style="thin">
        <color indexed="64"/>
      </right>
      <top style="medium"/>
      <bottom style="thin">
        <color indexed="64"/>
      </bottom>
    </border>
    <border>
      <left style="thin">
        <color indexed="64"/>
      </left>
      <right style="thin">
        <color indexed="64"/>
      </right>
      <top style="medium"/>
      <bottom style="thin">
        <color indexed="64"/>
      </bottom>
    </border>
    <border>
      <left/>
      <right style="medium"/>
      <top style="medium"/>
      <bottom style="thin">
        <color indexed="64"/>
      </bottom>
    </border>
    <border>
      <left style="medium"/>
      <right style="thin">
        <color indexed="64"/>
      </right>
      <top/>
      <bottom style="medium"/>
    </border>
    <border>
      <left style="thin">
        <color indexed="64"/>
      </left>
      <right style="thin">
        <color indexed="64"/>
      </right>
      <top/>
      <bottom style="medium"/>
    </border>
    <border>
      <left style="thin">
        <color indexed="64"/>
      </left>
      <right style="thin">
        <color indexed="64"/>
      </right>
      <top style="thin">
        <color indexed="64"/>
      </top>
      <bottom style="medium"/>
    </border>
    <border>
      <left style="thin">
        <color indexed="64"/>
      </left>
      <right style="medium"/>
      <top style="thin">
        <color indexed="64"/>
      </top>
      <bottom style="medium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3">
    <xf numFmtId="0" fontId="8" fillId="0" borderId="0"/>
    <xf numFmtId="0" fontId="2" fillId="2" borderId="0"/>
    <xf numFmtId="9" fontId="8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1" fillId="5" borderId="1" applyAlignment="1" pivotButton="0" quotePrefix="0" xfId="0">
      <alignment horizontal="center"/>
    </xf>
    <xf numFmtId="0" fontId="7" fillId="4" borderId="1" applyAlignment="1" pivotButton="0" quotePrefix="0" xfId="1">
      <alignment horizontal="center"/>
    </xf>
    <xf numFmtId="0" fontId="6" fillId="5" borderId="1" applyAlignment="1" pivotButton="0" quotePrefix="0" xfId="1">
      <alignment horizontal="center"/>
    </xf>
    <xf numFmtId="0" fontId="7" fillId="5" borderId="1" pivotButton="0" quotePrefix="0" xfId="1"/>
    <xf numFmtId="0" fontId="1" fillId="7" borderId="1" applyAlignment="1" pivotButton="0" quotePrefix="0" xfId="0">
      <alignment horizontal="center"/>
    </xf>
    <xf numFmtId="47" fontId="0" fillId="0" borderId="0" pivotButton="0" quotePrefix="0" xfId="0"/>
    <xf numFmtId="0" fontId="1" fillId="0" borderId="1" applyAlignment="1" pivotButton="0" quotePrefix="0" xfId="0">
      <alignment horizontal="center"/>
    </xf>
    <xf numFmtId="9" fontId="0" fillId="7" borderId="1" applyAlignment="1" pivotButton="0" quotePrefix="0" xfId="2">
      <alignment horizontal="center"/>
    </xf>
    <xf numFmtId="0" fontId="3" fillId="3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49" fontId="0" fillId="0" borderId="0" pivotButton="0" quotePrefix="0" xfId="0"/>
    <xf numFmtId="0" fontId="1" fillId="12" borderId="1" applyAlignment="1" pivotButton="0" quotePrefix="0" xfId="0">
      <alignment horizontal="center"/>
    </xf>
    <xf numFmtId="0" fontId="1" fillId="13" borderId="1" applyAlignment="1" pivotButton="0" quotePrefix="0" xfId="0">
      <alignment horizontal="center"/>
    </xf>
    <xf numFmtId="0" fontId="1" fillId="14" borderId="1" applyAlignment="1" pivotButton="0" quotePrefix="0" xfId="0">
      <alignment horizontal="center"/>
    </xf>
    <xf numFmtId="0" fontId="1" fillId="15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5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9" borderId="3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49" fontId="0" fillId="5" borderId="1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1" fontId="1" fillId="14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49" fontId="1" fillId="12" borderId="1" applyAlignment="1" pivotButton="0" quotePrefix="0" xfId="0">
      <alignment horizontal="center"/>
    </xf>
    <xf numFmtId="49" fontId="1" fillId="7" borderId="1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49" fontId="3" fillId="3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10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/>
    </xf>
    <xf numFmtId="14" fontId="0" fillId="0" borderId="0" pivotButton="0" quotePrefix="0" xfId="0"/>
    <xf numFmtId="0" fontId="0" fillId="0" borderId="7" pivotButton="0" quotePrefix="0" xfId="0"/>
    <xf numFmtId="0" fontId="1" fillId="0" borderId="1" pivotButton="0" quotePrefix="0" xfId="0"/>
    <xf numFmtId="0" fontId="0" fillId="0" borderId="8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49" fontId="3" fillId="3" borderId="2" applyAlignment="1" pivotButton="0" quotePrefix="0" xfId="0">
      <alignment horizontal="center" vertical="center" wrapText="1"/>
    </xf>
    <xf numFmtId="49" fontId="3" fillId="3" borderId="3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49" fontId="10" fillId="18" borderId="1" applyAlignment="1" pivotButton="0" quotePrefix="0" xfId="0">
      <alignment horizontal="center" vertical="center" wrapText="1"/>
    </xf>
    <xf numFmtId="49" fontId="10" fillId="18" borderId="1" applyAlignment="1" pivotButton="0" quotePrefix="0" xfId="0">
      <alignment vertical="center" wrapText="1"/>
    </xf>
    <xf numFmtId="0" fontId="10" fillId="18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2" applyAlignment="1" pivotButton="0" quotePrefix="0" xfId="0">
      <alignment horizontal="center" vertical="center" wrapText="1"/>
    </xf>
    <xf numFmtId="0" fontId="10" fillId="18" borderId="3" applyAlignment="1" pivotButton="0" quotePrefix="0" xfId="0">
      <alignment horizontal="center" vertical="center" wrapText="1"/>
    </xf>
    <xf numFmtId="0" fontId="10" fillId="18" borderId="4" applyAlignment="1" pivotButton="0" quotePrefix="0" xfId="0">
      <alignment horizontal="center" vertical="center" wrapText="1"/>
    </xf>
    <xf numFmtId="0" fontId="10" fillId="18" borderId="5" applyAlignment="1" pivotButton="0" quotePrefix="0" xfId="0">
      <alignment horizontal="center" vertical="center" wrapText="1"/>
    </xf>
    <xf numFmtId="0" fontId="10" fillId="18" borderId="6" applyAlignment="1" pivotButton="0" quotePrefix="0" xfId="0">
      <alignment horizontal="center" vertical="center" wrapText="1"/>
    </xf>
    <xf numFmtId="49" fontId="10" fillId="18" borderId="1" applyAlignment="1" pivotButton="0" quotePrefix="0" xfId="0">
      <alignment horizontal="left" vertical="center" wrapText="1"/>
    </xf>
    <xf numFmtId="0" fontId="3" fillId="3" borderId="9" applyAlignment="1" pivotButton="0" quotePrefix="0" xfId="0">
      <alignment horizontal="left" vertical="center"/>
    </xf>
    <xf numFmtId="0" fontId="3" fillId="3" borderId="10" applyAlignment="1" pivotButton="0" quotePrefix="0" xfId="0">
      <alignment horizontal="left" vertical="center"/>
    </xf>
    <xf numFmtId="0" fontId="3" fillId="3" borderId="10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3" borderId="23" applyAlignment="1" pivotButton="0" quotePrefix="0" xfId="0">
      <alignment horizontal="left" vertical="center"/>
    </xf>
    <xf numFmtId="0" fontId="3" fillId="3" borderId="24" applyAlignment="1" pivotButton="0" quotePrefix="0" xfId="0">
      <alignment horizontal="left" vertical="center"/>
    </xf>
    <xf numFmtId="0" fontId="3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3" fillId="3" borderId="28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0" fillId="0" borderId="32" pivotButton="0" quotePrefix="0" xfId="0"/>
    <xf numFmtId="0" fontId="11" fillId="0" borderId="33" pivotButton="0" quotePrefix="0" xfId="0"/>
    <xf numFmtId="0" fontId="0" fillId="0" borderId="33" applyAlignment="1" pivotButton="0" quotePrefix="0" xfId="0">
      <alignment horizont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11" fillId="0" borderId="31" pivotButton="0" quotePrefix="0" xfId="0"/>
    <xf numFmtId="0" fontId="0" fillId="0" borderId="31" pivotButton="0" quotePrefix="0" xfId="0"/>
    <xf numFmtId="0" fontId="0" fillId="0" borderId="31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30" pivotButton="0" quotePrefix="0" xfId="0"/>
    <xf numFmtId="0" fontId="0" fillId="0" borderId="30" pivotButton="0" quotePrefix="0" xfId="0"/>
    <xf numFmtId="0" fontId="0" fillId="0" borderId="30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21" borderId="36" applyAlignment="1" pivotButton="0" quotePrefix="0" xfId="0">
      <alignment horizontal="center" vertical="center"/>
    </xf>
    <xf numFmtId="0" fontId="0" fillId="21" borderId="3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3">
    <cellStyle name="Normal" xfId="0" builtinId="0"/>
    <cellStyle name="Neutral" xfId="1" builtinId="28"/>
    <cellStyle name="Percent" xfId="2" builtinId="5"/>
  </cellStyles>
  <dxfs count="1">
    <dxf>
      <fill>
        <patternFill>
          <bgColor theme="7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2"/>
  <sheetViews>
    <sheetView tabSelected="1" zoomScaleNormal="100" workbookViewId="0">
      <selection activeCell="A1" sqref="A1"/>
    </sheetView>
  </sheetViews>
  <sheetFormatPr baseColWidth="8" defaultRowHeight="14.4"/>
  <cols>
    <col width="20" customWidth="1" min="1" max="1"/>
    <col width="20" customWidth="1" style="5" min="2" max="2"/>
    <col width="15" customWidth="1" style="1" min="3" max="3"/>
    <col width="15" customWidth="1" style="1" min="4" max="4"/>
    <col width="19.33203125" customWidth="1" style="1" min="5" max="5"/>
  </cols>
  <sheetData>
    <row r="2" ht="26.4" customHeight="1">
      <c r="A2" s="55" t="inlineStr">
        <is>
          <t>Amostras Processadas por Equipamento</t>
        </is>
      </c>
    </row>
    <row r="3" ht="15" customHeight="1" thickBot="1"/>
    <row r="4" ht="22.2" customHeight="1">
      <c r="A4" s="84" t="inlineStr">
        <is>
          <t>LAB</t>
        </is>
      </c>
      <c r="B4" s="85" t="inlineStr">
        <is>
          <t>EQUIPAMENTO</t>
        </is>
      </c>
      <c r="C4" s="86" t="inlineStr">
        <is>
          <t>CAPACIDADE</t>
        </is>
      </c>
      <c r="D4" s="86" t="inlineStr">
        <is>
          <t>20 Julho - 26 Julho</t>
        </is>
      </c>
      <c r="E4" s="87" t="n"/>
    </row>
    <row r="5" ht="22.2" customHeight="1">
      <c r="A5" s="88" t="n"/>
      <c r="B5" s="89" t="n"/>
      <c r="C5" s="89" t="n"/>
      <c r="D5" s="90" t="inlineStr">
        <is>
          <t>DPI</t>
        </is>
      </c>
      <c r="E5" s="91" t="inlineStr">
        <is>
          <t>CV</t>
        </is>
      </c>
    </row>
    <row r="6">
      <c r="A6" s="92" t="inlineStr">
        <is>
          <t>Cabo Delgado</t>
        </is>
      </c>
      <c r="B6" s="93" t="inlineStr">
        <is>
          <t>C680A</t>
        </is>
      </c>
      <c r="C6" s="94" t="n"/>
      <c r="D6" s="95" t="n">
        <v>1269</v>
      </c>
      <c r="E6" s="96" t="n">
        <v>141</v>
      </c>
    </row>
    <row r="7">
      <c r="A7" s="97" t="inlineStr">
        <is>
          <t>Cabo Delgado</t>
        </is>
      </c>
      <c r="B7" s="98" t="inlineStr">
        <is>
          <t>MANUAL</t>
        </is>
      </c>
      <c r="C7" s="99" t="n"/>
      <c r="D7" s="100" t="n">
        <v>14</v>
      </c>
      <c r="E7" s="101" t="n">
        <v>2</v>
      </c>
    </row>
    <row r="8">
      <c r="A8" s="102" t="inlineStr">
        <is>
          <t>Carmelo</t>
        </is>
      </c>
      <c r="B8" s="103" t="inlineStr">
        <is>
          <t>PNTHA</t>
        </is>
      </c>
      <c r="C8" s="104" t="n"/>
      <c r="D8" s="105" t="n">
        <v>577</v>
      </c>
      <c r="E8" s="106" t="n">
        <v>28</v>
      </c>
    </row>
    <row r="9">
      <c r="A9" s="102" t="inlineStr">
        <is>
          <t>Carmelo</t>
        </is>
      </c>
      <c r="B9" s="103" t="inlineStr">
        <is>
          <t>PNTHR</t>
        </is>
      </c>
      <c r="C9" s="104" t="n"/>
      <c r="D9" s="105" t="n">
        <v>228</v>
      </c>
      <c r="E9" s="106" t="n">
        <v>30</v>
      </c>
    </row>
    <row r="10">
      <c r="A10" s="97" t="inlineStr">
        <is>
          <t>Carmelo</t>
        </is>
      </c>
      <c r="B10" s="98" t="inlineStr">
        <is>
          <t>MANUAL</t>
        </is>
      </c>
      <c r="C10" s="99" t="n"/>
      <c r="D10" s="100" t="n">
        <v>5</v>
      </c>
      <c r="E10" s="107" t="inlineStr"/>
    </row>
    <row r="11">
      <c r="A11" s="102" t="inlineStr">
        <is>
          <t>Chimoio</t>
        </is>
      </c>
      <c r="B11" s="103" t="inlineStr">
        <is>
          <t>ALNTY</t>
        </is>
      </c>
      <c r="C11" s="104" t="n"/>
      <c r="D11" s="105" t="n">
        <v>2060</v>
      </c>
      <c r="E11" s="108" t="inlineStr"/>
    </row>
    <row r="12">
      <c r="A12" s="102" t="inlineStr">
        <is>
          <t>Chimoio</t>
        </is>
      </c>
      <c r="B12" s="103" t="inlineStr">
        <is>
          <t>M200A</t>
        </is>
      </c>
      <c r="C12" s="104" t="n"/>
      <c r="D12" s="105" t="n">
        <v>466</v>
      </c>
      <c r="E12" s="108" t="inlineStr"/>
    </row>
    <row r="13">
      <c r="A13" s="102" t="inlineStr">
        <is>
          <t>Chimoio</t>
        </is>
      </c>
      <c r="B13" s="103" t="inlineStr">
        <is>
          <t>M200B</t>
        </is>
      </c>
      <c r="C13" s="104" t="n"/>
      <c r="D13" s="105" t="n">
        <v>440</v>
      </c>
      <c r="E13" s="106" t="n">
        <v>135</v>
      </c>
    </row>
    <row r="14">
      <c r="A14" s="97" t="inlineStr">
        <is>
          <t>Chimoio</t>
        </is>
      </c>
      <c r="B14" s="98" t="inlineStr">
        <is>
          <t>MANUAL</t>
        </is>
      </c>
      <c r="C14" s="99" t="n"/>
      <c r="D14" s="100" t="n">
        <v>191</v>
      </c>
      <c r="E14" s="101" t="n">
        <v>25</v>
      </c>
    </row>
    <row r="15">
      <c r="A15" s="102" t="inlineStr">
        <is>
          <t>Dream Beira</t>
        </is>
      </c>
      <c r="B15" s="103" t="inlineStr">
        <is>
          <t>MANUAL</t>
        </is>
      </c>
      <c r="C15" s="104" t="n"/>
      <c r="D15" s="105" t="n">
        <v>48</v>
      </c>
      <c r="E15" s="108" t="inlineStr"/>
    </row>
    <row r="16">
      <c r="A16" s="102" t="inlineStr">
        <is>
          <t>Dream Beira</t>
        </is>
      </c>
      <c r="B16" s="103" t="inlineStr">
        <is>
          <t>ALNTY</t>
        </is>
      </c>
      <c r="C16" s="104" t="n"/>
      <c r="D16" s="105" t="n">
        <v>1232</v>
      </c>
      <c r="E16" s="108" t="inlineStr"/>
    </row>
    <row r="17">
      <c r="A17" s="97" t="inlineStr">
        <is>
          <t>Dream Beira</t>
        </is>
      </c>
      <c r="B17" s="98" t="inlineStr">
        <is>
          <t>M200A</t>
        </is>
      </c>
      <c r="C17" s="99" t="n"/>
      <c r="D17" s="100" t="n">
        <v>462</v>
      </c>
      <c r="E17" s="107" t="inlineStr"/>
    </row>
    <row r="18">
      <c r="A18" s="102" t="inlineStr">
        <is>
          <t>Dream Maputo</t>
        </is>
      </c>
      <c r="B18" s="103" t="inlineStr">
        <is>
          <t>C680A</t>
        </is>
      </c>
      <c r="C18" s="104" t="n"/>
      <c r="D18" s="105" t="n">
        <v>384</v>
      </c>
      <c r="E18" s="108" t="inlineStr"/>
    </row>
    <row r="19">
      <c r="A19" s="102" t="inlineStr">
        <is>
          <t>Dream Maputo</t>
        </is>
      </c>
      <c r="B19" s="103" t="inlineStr">
        <is>
          <t>M2000</t>
        </is>
      </c>
      <c r="C19" s="104" t="n"/>
      <c r="D19" s="105" t="n">
        <v>359</v>
      </c>
      <c r="E19" s="108" t="inlineStr"/>
    </row>
    <row r="20">
      <c r="A20" s="97" t="inlineStr">
        <is>
          <t>Dream Maputo</t>
        </is>
      </c>
      <c r="B20" s="98" t="inlineStr">
        <is>
          <t>MANUAL</t>
        </is>
      </c>
      <c r="C20" s="99" t="n"/>
      <c r="D20" s="100" t="n">
        <v>1</v>
      </c>
      <c r="E20" s="107" t="inlineStr"/>
    </row>
    <row r="21">
      <c r="A21" s="102" t="inlineStr">
        <is>
          <t>INS</t>
        </is>
      </c>
      <c r="B21" s="103" t="inlineStr">
        <is>
          <t>M2000</t>
        </is>
      </c>
      <c r="C21" s="104" t="n"/>
      <c r="D21" s="105" t="n">
        <v>90</v>
      </c>
      <c r="E21" s="108" t="inlineStr"/>
    </row>
    <row r="22">
      <c r="A22" s="102" t="inlineStr">
        <is>
          <t>INS</t>
        </is>
      </c>
      <c r="B22" s="103" t="inlineStr">
        <is>
          <t>C6800</t>
        </is>
      </c>
      <c r="C22" s="104" t="n"/>
      <c r="D22" s="105" t="n">
        <v>628</v>
      </c>
      <c r="E22" s="106" t="n">
        <v>38</v>
      </c>
    </row>
    <row r="23">
      <c r="A23" s="97" t="inlineStr">
        <is>
          <t>INS</t>
        </is>
      </c>
      <c r="B23" s="98" t="inlineStr">
        <is>
          <t>MANUAL</t>
        </is>
      </c>
      <c r="C23" s="99" t="n"/>
      <c r="D23" s="100" t="n">
        <v>34</v>
      </c>
      <c r="E23" s="107" t="inlineStr"/>
    </row>
    <row r="24">
      <c r="A24" s="102" t="inlineStr">
        <is>
          <t>Lichinga</t>
        </is>
      </c>
      <c r="B24" s="103" t="inlineStr">
        <is>
          <t>C680A</t>
        </is>
      </c>
      <c r="C24" s="104" t="n"/>
      <c r="D24" s="105" t="n">
        <v>852</v>
      </c>
      <c r="E24" s="106" t="n">
        <v>129</v>
      </c>
    </row>
    <row r="25">
      <c r="A25" s="97" t="inlineStr">
        <is>
          <t>Lichinga</t>
        </is>
      </c>
      <c r="B25" s="98" t="inlineStr">
        <is>
          <t>MANUAL</t>
        </is>
      </c>
      <c r="C25" s="99" t="n"/>
      <c r="D25" s="100" t="n">
        <v>45</v>
      </c>
      <c r="E25" s="107" t="inlineStr"/>
    </row>
    <row r="26">
      <c r="A26" s="102" t="inlineStr">
        <is>
          <t>Machava</t>
        </is>
      </c>
      <c r="B26" s="103" t="inlineStr">
        <is>
          <t>C6800</t>
        </is>
      </c>
      <c r="C26" s="104" t="n"/>
      <c r="D26" s="105" t="n">
        <v>370</v>
      </c>
      <c r="E26" s="108" t="inlineStr"/>
    </row>
    <row r="27">
      <c r="A27" s="102" t="inlineStr">
        <is>
          <t>Machava</t>
        </is>
      </c>
      <c r="B27" s="103" t="inlineStr">
        <is>
          <t>C680A</t>
        </is>
      </c>
      <c r="C27" s="104" t="n"/>
      <c r="D27" s="105" t="n">
        <v>364</v>
      </c>
      <c r="E27" s="108" t="inlineStr"/>
    </row>
    <row r="28">
      <c r="A28" s="97" t="inlineStr">
        <is>
          <t>Machava</t>
        </is>
      </c>
      <c r="B28" s="98" t="inlineStr">
        <is>
          <t>MANUAL</t>
        </is>
      </c>
      <c r="C28" s="99" t="n"/>
      <c r="D28" s="100" t="n">
        <v>6</v>
      </c>
      <c r="E28" s="107" t="inlineStr"/>
    </row>
    <row r="29">
      <c r="A29" s="102" t="inlineStr">
        <is>
          <t>Mavalane</t>
        </is>
      </c>
      <c r="B29" s="103" t="inlineStr">
        <is>
          <t>C6800</t>
        </is>
      </c>
      <c r="C29" s="104" t="n"/>
      <c r="D29" s="105" t="n">
        <v>2209</v>
      </c>
      <c r="E29" s="108" t="inlineStr"/>
    </row>
    <row r="30">
      <c r="A30" s="102" t="inlineStr">
        <is>
          <t>Mavalane</t>
        </is>
      </c>
      <c r="B30" s="103" t="inlineStr">
        <is>
          <t>MANUAL</t>
        </is>
      </c>
      <c r="C30" s="104" t="n"/>
      <c r="D30" s="105" t="n">
        <v>42</v>
      </c>
      <c r="E30" s="108" t="inlineStr"/>
    </row>
    <row r="31">
      <c r="A31" s="97" t="inlineStr">
        <is>
          <t>Mavalane</t>
        </is>
      </c>
      <c r="B31" s="98" t="inlineStr">
        <is>
          <t>C680A</t>
        </is>
      </c>
      <c r="C31" s="99" t="n"/>
      <c r="D31" s="100" t="n">
        <v>1781</v>
      </c>
      <c r="E31" s="101" t="n">
        <v>51</v>
      </c>
    </row>
    <row r="32">
      <c r="A32" s="102" t="inlineStr">
        <is>
          <t>Nampula</t>
        </is>
      </c>
      <c r="B32" s="103" t="inlineStr">
        <is>
          <t>C6800</t>
        </is>
      </c>
      <c r="C32" s="104" t="n"/>
      <c r="D32" s="105" t="n">
        <v>2441</v>
      </c>
      <c r="E32" s="108" t="inlineStr"/>
    </row>
    <row r="33">
      <c r="A33" s="102" t="inlineStr">
        <is>
          <t>Nampula</t>
        </is>
      </c>
      <c r="B33" s="103" t="inlineStr">
        <is>
          <t>C680A</t>
        </is>
      </c>
      <c r="C33" s="104" t="n"/>
      <c r="D33" s="105" t="n">
        <v>3831</v>
      </c>
      <c r="E33" s="106" t="n">
        <v>318</v>
      </c>
    </row>
    <row r="34">
      <c r="A34" s="97" t="inlineStr">
        <is>
          <t>Nampula</t>
        </is>
      </c>
      <c r="B34" s="98" t="inlineStr">
        <is>
          <t>MANUAL</t>
        </is>
      </c>
      <c r="C34" s="99" t="n"/>
      <c r="D34" s="100" t="n">
        <v>119</v>
      </c>
      <c r="E34" s="101" t="n">
        <v>10</v>
      </c>
    </row>
    <row r="35">
      <c r="A35" s="102" t="inlineStr">
        <is>
          <t>Ponta Gea</t>
        </is>
      </c>
      <c r="B35" s="103" t="inlineStr">
        <is>
          <t>ALNTY</t>
        </is>
      </c>
      <c r="C35" s="104" t="n"/>
      <c r="D35" s="105" t="n">
        <v>2640</v>
      </c>
      <c r="E35" s="108" t="inlineStr"/>
    </row>
    <row r="36">
      <c r="A36" s="102" t="inlineStr">
        <is>
          <t>Ponta Gea</t>
        </is>
      </c>
      <c r="B36" s="103" t="inlineStr">
        <is>
          <t>MANUAL</t>
        </is>
      </c>
      <c r="C36" s="104" t="n"/>
      <c r="D36" s="105" t="n">
        <v>204</v>
      </c>
      <c r="E36" s="106" t="n">
        <v>62</v>
      </c>
    </row>
    <row r="37">
      <c r="A37" s="97" t="inlineStr">
        <is>
          <t>Ponta Gea</t>
        </is>
      </c>
      <c r="B37" s="98" t="inlineStr">
        <is>
          <t>ALNTB</t>
        </is>
      </c>
      <c r="C37" s="99" t="n"/>
      <c r="D37" s="100" t="n">
        <v>1242</v>
      </c>
      <c r="E37" s="107" t="inlineStr"/>
    </row>
    <row r="38">
      <c r="A38" s="102" t="inlineStr">
        <is>
          <t>Quelimane</t>
        </is>
      </c>
      <c r="B38" s="103" t="inlineStr">
        <is>
          <t>ALNTY</t>
        </is>
      </c>
      <c r="C38" s="104" t="n"/>
      <c r="D38" s="105" t="n">
        <v>2000</v>
      </c>
      <c r="E38" s="108" t="inlineStr"/>
    </row>
    <row r="39">
      <c r="A39" s="102" t="inlineStr">
        <is>
          <t>Quelimane</t>
        </is>
      </c>
      <c r="B39" s="103" t="inlineStr">
        <is>
          <t>ALNTA</t>
        </is>
      </c>
      <c r="C39" s="104" t="n"/>
      <c r="D39" s="105" t="n">
        <v>1638</v>
      </c>
      <c r="E39" s="108" t="inlineStr"/>
    </row>
    <row r="40">
      <c r="A40" s="102" t="inlineStr">
        <is>
          <t>Quelimane</t>
        </is>
      </c>
      <c r="B40" s="103" t="inlineStr">
        <is>
          <t>ALNTB</t>
        </is>
      </c>
      <c r="C40" s="104" t="n"/>
      <c r="D40" s="105" t="n">
        <v>1572</v>
      </c>
      <c r="E40" s="108" t="inlineStr"/>
    </row>
    <row r="41">
      <c r="A41" s="102" t="inlineStr">
        <is>
          <t>Quelimane</t>
        </is>
      </c>
      <c r="B41" s="103" t="inlineStr">
        <is>
          <t>MANUAL</t>
        </is>
      </c>
      <c r="C41" s="104" t="n"/>
      <c r="D41" s="105" t="n">
        <v>1674</v>
      </c>
      <c r="E41" s="106" t="n">
        <v>23</v>
      </c>
    </row>
    <row r="42">
      <c r="A42" s="102" t="inlineStr">
        <is>
          <t>Quelimane</t>
        </is>
      </c>
      <c r="B42" s="103" t="inlineStr">
        <is>
          <t>PNTHA</t>
        </is>
      </c>
      <c r="C42" s="104" t="n"/>
      <c r="D42" s="105" t="n">
        <v>1777</v>
      </c>
      <c r="E42" s="106" t="n">
        <v>1</v>
      </c>
    </row>
    <row r="43">
      <c r="A43" s="97" t="inlineStr">
        <is>
          <t>Quelimane</t>
        </is>
      </c>
      <c r="B43" s="98" t="inlineStr">
        <is>
          <t>PNTHR</t>
        </is>
      </c>
      <c r="C43" s="99" t="n"/>
      <c r="D43" s="100" t="n">
        <v>1148</v>
      </c>
      <c r="E43" s="101" t="n">
        <v>196</v>
      </c>
    </row>
    <row r="44">
      <c r="A44" s="102" t="inlineStr">
        <is>
          <t>Tete</t>
        </is>
      </c>
      <c r="B44" s="103" t="inlineStr">
        <is>
          <t>ALNTA</t>
        </is>
      </c>
      <c r="C44" s="104" t="n"/>
      <c r="D44" s="105" t="n">
        <v>1112</v>
      </c>
      <c r="E44" s="108" t="inlineStr"/>
    </row>
    <row r="45">
      <c r="A45" s="102" t="inlineStr">
        <is>
          <t>Tete</t>
        </is>
      </c>
      <c r="B45" s="103" t="inlineStr">
        <is>
          <t>ALNTY</t>
        </is>
      </c>
      <c r="C45" s="104" t="n"/>
      <c r="D45" s="105" t="n">
        <v>282</v>
      </c>
      <c r="E45" s="108" t="inlineStr"/>
    </row>
    <row r="46">
      <c r="A46" s="102" t="inlineStr">
        <is>
          <t>Tete</t>
        </is>
      </c>
      <c r="B46" s="103" t="inlineStr">
        <is>
          <t>MANUAL</t>
        </is>
      </c>
      <c r="C46" s="104" t="n"/>
      <c r="D46" s="105" t="n">
        <v>63</v>
      </c>
      <c r="E46" s="108" t="inlineStr"/>
    </row>
    <row r="47">
      <c r="A47" s="102" t="inlineStr">
        <is>
          <t>Tete</t>
        </is>
      </c>
      <c r="B47" s="103" t="inlineStr">
        <is>
          <t>M2000</t>
        </is>
      </c>
      <c r="C47" s="104" t="n"/>
      <c r="D47" s="105" t="n">
        <v>171</v>
      </c>
      <c r="E47" s="106" t="n">
        <v>10</v>
      </c>
    </row>
    <row r="48">
      <c r="A48" s="97" t="inlineStr">
        <is>
          <t>Tete</t>
        </is>
      </c>
      <c r="B48" s="98" t="inlineStr">
        <is>
          <t>M200A</t>
        </is>
      </c>
      <c r="C48" s="99" t="n"/>
      <c r="D48" s="100" t="n">
        <v>86</v>
      </c>
      <c r="E48" s="107" t="inlineStr"/>
    </row>
    <row r="49">
      <c r="A49" s="102" t="inlineStr">
        <is>
          <t>Xai-Xai</t>
        </is>
      </c>
      <c r="B49" s="103" t="inlineStr">
        <is>
          <t>MANUAL</t>
        </is>
      </c>
      <c r="C49" s="104" t="n"/>
      <c r="D49" s="105" t="n">
        <v>16</v>
      </c>
      <c r="E49" s="108" t="inlineStr"/>
    </row>
    <row r="50">
      <c r="A50" s="102" t="inlineStr">
        <is>
          <t>Xai-Xai</t>
        </is>
      </c>
      <c r="B50" s="103" t="inlineStr">
        <is>
          <t>PNTHR</t>
        </is>
      </c>
      <c r="C50" s="104" t="n"/>
      <c r="D50" s="105" t="n">
        <v>1775</v>
      </c>
      <c r="E50" s="106" t="n">
        <v>1</v>
      </c>
    </row>
    <row r="51">
      <c r="A51" s="102" t="inlineStr">
        <is>
          <t>Xai-Xai</t>
        </is>
      </c>
      <c r="B51" s="103" t="inlineStr">
        <is>
          <t>PNTHA</t>
        </is>
      </c>
      <c r="C51" s="104" t="n"/>
      <c r="D51" s="105" t="n">
        <v>2403</v>
      </c>
      <c r="E51" s="106" t="n">
        <v>21</v>
      </c>
    </row>
    <row r="52">
      <c r="A52" s="97" t="inlineStr">
        <is>
          <t>Xai-Xai</t>
        </is>
      </c>
      <c r="B52" s="98" t="inlineStr">
        <is>
          <t>PNTHC</t>
        </is>
      </c>
      <c r="C52" s="99" t="n"/>
      <c r="D52" s="100" t="n">
        <v>2518</v>
      </c>
      <c r="E52" s="101" t="n">
        <v>105</v>
      </c>
    </row>
  </sheetData>
  <mergeCells count="5">
    <mergeCell ref="B4:B5"/>
    <mergeCell ref="A2:E2"/>
    <mergeCell ref="C4:C5"/>
    <mergeCell ref="A4:A5"/>
    <mergeCell ref="D4:E4"/>
  </mergeCells>
  <conditionalFormatting sqref="D6:E6">
    <cfRule type="containsBlanks" priority="7" dxfId="0">
      <formula>LEN(TRIM(D6))=0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40"/>
  <sheetViews>
    <sheetView zoomScaleNormal="100" workbookViewId="0">
      <selection activeCell="A1" sqref="A1"/>
    </sheetView>
  </sheetViews>
  <sheetFormatPr baseColWidth="8" defaultRowHeight="14.4"/>
  <cols>
    <col width="17.33203125" customWidth="1" min="1" max="1"/>
    <col width="16.6640625" customWidth="1" style="4" min="2" max="2"/>
    <col width="15.5546875" customWidth="1" style="1" min="3" max="3"/>
    <col width="15.33203125" customWidth="1" style="1" min="4" max="4"/>
    <col width="16.6640625" customWidth="1" style="1" min="5" max="5"/>
    <col width="20.6640625" customWidth="1" style="1" min="6" max="6"/>
    <col width="16.5546875" customWidth="1" min="7" max="7"/>
  </cols>
  <sheetData>
    <row r="2"/>
    <row r="3" ht="18" customHeight="1">
      <c r="B3" s="109" t="inlineStr">
        <is>
          <t>Amostras não Processadas (Semana: 20 Julho - 26 Julho)</t>
        </is>
      </c>
    </row>
    <row r="5" ht="25.95" customHeight="1">
      <c r="A5" s="60" t="inlineStr">
        <is>
          <t>LAB</t>
        </is>
      </c>
      <c r="B5" s="61" t="inlineStr">
        <is>
          <t xml:space="preserve"> AMOSTRAS</t>
        </is>
      </c>
      <c r="C5" s="61" t="inlineStr">
        <is>
          <t>DATA DE COLHEITA DAS AMOSTRAS</t>
        </is>
      </c>
      <c r="D5" s="110" t="n"/>
      <c r="E5" s="110" t="n"/>
      <c r="F5" s="110" t="n"/>
      <c r="G5" s="111" t="n"/>
    </row>
    <row r="6" ht="33" customHeight="1">
      <c r="A6" s="112" t="n"/>
      <c r="B6" s="112" t="n"/>
      <c r="C6" s="61" t="inlineStr">
        <is>
          <t>&lt;7 dias</t>
        </is>
      </c>
      <c r="D6" s="61" t="inlineStr">
        <is>
          <t>7-14 dias</t>
        </is>
      </c>
      <c r="E6" s="61" t="inlineStr">
        <is>
          <t>15-21 dias</t>
        </is>
      </c>
      <c r="F6" s="61" t="inlineStr">
        <is>
          <t>&gt;21 dias</t>
        </is>
      </c>
      <c r="G6" s="61" t="inlineStr">
        <is>
          <t>Sem data de colheita</t>
        </is>
      </c>
      <c r="N6" s="13" t="n"/>
    </row>
    <row r="7">
      <c r="A7" s="2" t="inlineStr">
        <is>
          <t>Cabo Delgado</t>
        </is>
      </c>
      <c r="B7" s="14" t="n">
        <v>6121</v>
      </c>
      <c r="C7" s="6" t="n">
        <v>570</v>
      </c>
      <c r="D7" s="6" t="n">
        <v>2158</v>
      </c>
      <c r="E7" s="6" t="n">
        <v>1249</v>
      </c>
      <c r="F7" s="6" t="n">
        <v>2117</v>
      </c>
      <c r="G7" s="6" t="n">
        <v>27</v>
      </c>
      <c r="N7" s="13" t="n"/>
      <c r="O7" s="13" t="n"/>
    </row>
    <row r="8">
      <c r="A8" s="2" t="inlineStr">
        <is>
          <t>Carmelo</t>
        </is>
      </c>
      <c r="B8" s="14" t="n">
        <v>732</v>
      </c>
      <c r="C8" s="6" t="n">
        <v>297</v>
      </c>
      <c r="D8" s="6" t="n">
        <v>377</v>
      </c>
      <c r="E8" s="6" t="n">
        <v>3</v>
      </c>
      <c r="F8" s="6" t="n">
        <v>19</v>
      </c>
      <c r="G8" s="6" t="n">
        <v>36</v>
      </c>
      <c r="N8" s="13" t="n"/>
      <c r="O8" s="13" t="n"/>
    </row>
    <row r="9">
      <c r="A9" s="2" t="inlineStr">
        <is>
          <t>Chimoio</t>
        </is>
      </c>
      <c r="B9" s="14" t="n">
        <v>5032</v>
      </c>
      <c r="C9" s="6" t="n">
        <v>741</v>
      </c>
      <c r="D9" s="6" t="n">
        <v>1728</v>
      </c>
      <c r="E9" s="6" t="n">
        <v>1079</v>
      </c>
      <c r="F9" s="6" t="n">
        <v>1191</v>
      </c>
      <c r="G9" s="6" t="n">
        <v>293</v>
      </c>
      <c r="N9" s="13" t="n"/>
      <c r="O9" s="13" t="n"/>
    </row>
    <row r="10">
      <c r="A10" s="7" t="inlineStr">
        <is>
          <t>Dream Beira</t>
        </is>
      </c>
      <c r="B10" s="8" t="n">
        <v>1524</v>
      </c>
      <c r="C10" s="6" t="n">
        <v>155</v>
      </c>
      <c r="D10" s="6" t="n">
        <v>853</v>
      </c>
      <c r="E10" s="6" t="n">
        <v>277</v>
      </c>
      <c r="F10" s="6" t="n">
        <v>165</v>
      </c>
      <c r="G10" s="6" t="n">
        <v>74</v>
      </c>
      <c r="N10" s="13" t="n"/>
      <c r="O10" s="13" t="n"/>
    </row>
    <row r="11">
      <c r="A11" s="2" t="inlineStr">
        <is>
          <t>Dream Maputo</t>
        </is>
      </c>
      <c r="B11" s="14" t="n">
        <v>64</v>
      </c>
      <c r="C11" s="6" t="n">
        <v>62</v>
      </c>
      <c r="D11" s="6" t="n">
        <v>0</v>
      </c>
      <c r="E11" s="6" t="n">
        <v>2</v>
      </c>
      <c r="F11" s="6" t="n">
        <v>0</v>
      </c>
      <c r="G11" s="6" t="n">
        <v>0</v>
      </c>
      <c r="N11" s="13" t="n"/>
      <c r="O11" s="13" t="n"/>
    </row>
    <row r="12">
      <c r="A12" s="2" t="inlineStr">
        <is>
          <t>INS</t>
        </is>
      </c>
      <c r="B12" s="14" t="n">
        <v>472</v>
      </c>
      <c r="C12" s="6" t="n">
        <v>71</v>
      </c>
      <c r="D12" s="6" t="n">
        <v>52</v>
      </c>
      <c r="E12" s="6" t="n">
        <v>155</v>
      </c>
      <c r="F12" s="6" t="n">
        <v>194</v>
      </c>
      <c r="G12" s="6" t="n">
        <v>0</v>
      </c>
      <c r="N12" s="13" t="n"/>
      <c r="O12" s="13" t="n"/>
    </row>
    <row r="13">
      <c r="A13" s="2" t="inlineStr">
        <is>
          <t>Lichinga</t>
        </is>
      </c>
      <c r="B13" s="14" t="n">
        <v>435</v>
      </c>
      <c r="C13" s="6" t="n">
        <v>117</v>
      </c>
      <c r="D13" s="6" t="n">
        <v>117</v>
      </c>
      <c r="E13" s="6" t="n">
        <v>27</v>
      </c>
      <c r="F13" s="6" t="n">
        <v>158</v>
      </c>
      <c r="G13" s="6" t="n">
        <v>16</v>
      </c>
      <c r="N13" s="13" t="n"/>
      <c r="O13" s="13" t="n"/>
    </row>
    <row r="14">
      <c r="A14" s="2" t="inlineStr">
        <is>
          <t>Machava</t>
        </is>
      </c>
      <c r="B14" s="14" t="n">
        <v>1363</v>
      </c>
      <c r="C14" s="6" t="n">
        <v>0</v>
      </c>
      <c r="D14" s="6" t="n">
        <v>985</v>
      </c>
      <c r="E14" s="6" t="n">
        <v>195</v>
      </c>
      <c r="F14" s="6" t="n">
        <v>179</v>
      </c>
      <c r="G14" s="6" t="n">
        <v>4</v>
      </c>
      <c r="N14" s="13" t="n"/>
      <c r="O14" s="13" t="n"/>
    </row>
    <row r="15">
      <c r="A15" s="7" t="inlineStr">
        <is>
          <t>Mavalane</t>
        </is>
      </c>
      <c r="B15" s="8" t="n">
        <v>955</v>
      </c>
      <c r="C15" s="6" t="n">
        <v>618</v>
      </c>
      <c r="D15" s="6" t="n">
        <v>104</v>
      </c>
      <c r="E15" s="6" t="n">
        <v>63</v>
      </c>
      <c r="F15" s="6" t="n">
        <v>167</v>
      </c>
      <c r="G15" s="6" t="n">
        <v>3</v>
      </c>
      <c r="N15" s="13" t="n"/>
      <c r="O15" s="13" t="n"/>
    </row>
    <row r="16">
      <c r="A16" s="7" t="inlineStr">
        <is>
          <t>Nampula</t>
        </is>
      </c>
      <c r="B16" s="8" t="n">
        <v>8274</v>
      </c>
      <c r="C16" s="6" t="n">
        <v>999</v>
      </c>
      <c r="D16" s="6" t="n">
        <v>3268</v>
      </c>
      <c r="E16" s="6" t="n">
        <v>1907</v>
      </c>
      <c r="F16" s="6" t="n">
        <v>2087</v>
      </c>
      <c r="G16" s="6" t="n">
        <v>13</v>
      </c>
      <c r="N16" s="13" t="n"/>
      <c r="O16" s="13" t="n"/>
    </row>
    <row r="17">
      <c r="A17" s="7" t="inlineStr">
        <is>
          <t>Ponta Gea</t>
        </is>
      </c>
      <c r="B17" s="8" t="n">
        <v>4601</v>
      </c>
      <c r="C17" s="6" t="n">
        <v>487</v>
      </c>
      <c r="D17" s="6" t="n">
        <v>1058</v>
      </c>
      <c r="E17" s="6" t="n">
        <v>995</v>
      </c>
      <c r="F17" s="6" t="n">
        <v>2052</v>
      </c>
      <c r="G17" s="6" t="n">
        <v>9</v>
      </c>
      <c r="N17" s="13" t="n"/>
      <c r="O17" s="13" t="n"/>
    </row>
    <row r="18">
      <c r="A18" s="2" t="inlineStr">
        <is>
          <t>Quelimane</t>
        </is>
      </c>
      <c r="B18" s="14" t="n">
        <v>2666</v>
      </c>
      <c r="C18" s="6" t="n">
        <v>764</v>
      </c>
      <c r="D18" s="6" t="n">
        <v>929</v>
      </c>
      <c r="E18" s="6" t="n">
        <v>476</v>
      </c>
      <c r="F18" s="6" t="n">
        <v>491</v>
      </c>
      <c r="G18" s="6" t="n">
        <v>6</v>
      </c>
      <c r="N18" s="13" t="n"/>
      <c r="O18" s="13" t="n"/>
    </row>
    <row r="19">
      <c r="A19" s="11" t="inlineStr">
        <is>
          <t>Tete</t>
        </is>
      </c>
      <c r="B19" s="10" t="n">
        <v>1746</v>
      </c>
      <c r="C19" s="9" t="n">
        <v>20</v>
      </c>
      <c r="D19" s="9" t="n">
        <v>923</v>
      </c>
      <c r="E19" s="9" t="n">
        <v>380</v>
      </c>
      <c r="F19" s="9" t="n">
        <v>416</v>
      </c>
      <c r="G19" s="6" t="n">
        <v>7</v>
      </c>
      <c r="N19" s="13" t="n"/>
      <c r="O19" s="13" t="n"/>
    </row>
    <row r="20">
      <c r="A20" s="2" t="inlineStr">
        <is>
          <t>Xai-Xai</t>
        </is>
      </c>
      <c r="B20" s="14" t="n">
        <v>3428</v>
      </c>
      <c r="C20" s="6" t="n">
        <v>790</v>
      </c>
      <c r="D20" s="6" t="n">
        <v>1878</v>
      </c>
      <c r="E20" s="6" t="n">
        <v>254</v>
      </c>
      <c r="F20" s="6" t="n">
        <v>496</v>
      </c>
      <c r="G20" s="6" t="n">
        <v>10</v>
      </c>
      <c r="O20" s="13" t="n"/>
    </row>
    <row r="21">
      <c r="A21" s="62" t="inlineStr">
        <is>
          <t>TOTAL</t>
        </is>
      </c>
      <c r="B21" s="63">
        <f>SUM(B7:B20)</f>
        <v/>
      </c>
      <c r="C21" s="12">
        <f>SUM(C7:C20)</f>
        <v/>
      </c>
      <c r="D21" s="12">
        <f>SUM(D7:D20)</f>
        <v/>
      </c>
      <c r="E21" s="12">
        <f>SUM(E7:E20)</f>
        <v/>
      </c>
      <c r="F21" s="12">
        <f>SUM(F7:F20)</f>
        <v/>
      </c>
      <c r="G21" s="12">
        <f>SUM(G7:G20)</f>
        <v/>
      </c>
      <c r="O21" s="13" t="n"/>
    </row>
    <row r="22">
      <c r="A22" s="112" t="n"/>
      <c r="B22" s="112" t="n"/>
      <c r="C22" s="15">
        <f>C21/B21</f>
        <v/>
      </c>
      <c r="D22" s="15">
        <f>D21/B21</f>
        <v/>
      </c>
      <c r="E22" s="15">
        <f>E21/B21</f>
        <v/>
      </c>
      <c r="F22" s="15">
        <f>F21/B21</f>
        <v/>
      </c>
      <c r="G22" s="15">
        <f>G21/B21</f>
        <v/>
      </c>
      <c r="O22" s="13" t="n"/>
    </row>
    <row r="24">
      <c r="D24" s="41" t="n"/>
      <c r="E24" s="41" t="n"/>
      <c r="J24" s="13" t="n"/>
    </row>
    <row r="25">
      <c r="D25" s="41" t="n"/>
      <c r="H25" s="13" t="n"/>
      <c r="I25" s="51" t="n"/>
      <c r="J25" s="51" t="n"/>
    </row>
    <row r="26">
      <c r="D26" s="41" t="n"/>
      <c r="H26" s="13" t="n"/>
      <c r="I26" s="51" t="n"/>
      <c r="J26" s="51" t="n"/>
    </row>
    <row r="27">
      <c r="D27" s="41" t="n"/>
      <c r="H27" s="13" t="n"/>
      <c r="I27" s="51" t="n"/>
      <c r="J27" s="51" t="n"/>
    </row>
    <row r="28">
      <c r="H28" s="13" t="n"/>
      <c r="I28" s="51" t="n"/>
      <c r="J28" s="51" t="n"/>
    </row>
    <row r="29">
      <c r="H29" s="13" t="n"/>
      <c r="I29" s="51" t="n"/>
      <c r="J29" s="51" t="n"/>
    </row>
    <row r="30">
      <c r="H30" s="13" t="n"/>
      <c r="I30" s="51" t="n"/>
      <c r="J30" s="51" t="n"/>
    </row>
    <row r="31">
      <c r="H31" s="13" t="n"/>
      <c r="I31" s="51" t="n"/>
      <c r="J31" s="51" t="n"/>
    </row>
    <row r="32">
      <c r="H32" s="13" t="n"/>
      <c r="I32" s="51" t="n"/>
      <c r="J32" s="51" t="n"/>
    </row>
    <row r="33">
      <c r="H33" s="13" t="n"/>
      <c r="I33" s="51" t="n"/>
      <c r="J33" s="51" t="n"/>
    </row>
    <row r="34">
      <c r="H34" s="13" t="n"/>
      <c r="I34" s="51" t="n"/>
      <c r="J34" s="51" t="n"/>
    </row>
    <row r="35">
      <c r="H35" s="13" t="n"/>
      <c r="I35" s="51" t="n"/>
      <c r="J35" s="51" t="n"/>
    </row>
    <row r="36">
      <c r="H36" s="13" t="n"/>
      <c r="I36" s="51" t="n"/>
      <c r="J36" s="51" t="n"/>
    </row>
    <row r="37">
      <c r="H37" s="13" t="n"/>
      <c r="I37" s="51" t="n"/>
      <c r="J37" s="51" t="n"/>
    </row>
    <row r="38">
      <c r="H38" s="13" t="n"/>
      <c r="I38" s="51" t="n"/>
      <c r="J38" s="51" t="n"/>
    </row>
    <row r="39">
      <c r="H39" s="13" t="n"/>
    </row>
    <row r="40">
      <c r="H40" s="13" t="n"/>
    </row>
  </sheetData>
  <mergeCells count="6">
    <mergeCell ref="A5:A6"/>
    <mergeCell ref="B3:F3"/>
    <mergeCell ref="C5:G5"/>
    <mergeCell ref="B21:B22"/>
    <mergeCell ref="B5:B6"/>
    <mergeCell ref="A21:A2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Z57"/>
  <sheetViews>
    <sheetView zoomScaleNormal="100" workbookViewId="0">
      <pane xSplit="1" topLeftCell="B1" activePane="topRight" state="frozen"/>
      <selection pane="topRight" activeCell="A1" sqref="A1"/>
    </sheetView>
  </sheetViews>
  <sheetFormatPr baseColWidth="8" defaultRowHeight="14.4"/>
  <cols>
    <col width="16.44140625" customWidth="1" style="29" min="1" max="1"/>
    <col width="16.44140625" customWidth="1" min="2" max="2"/>
    <col width="10.5546875" customWidth="1" min="4" max="4"/>
    <col width="10.88671875" customWidth="1" min="5" max="5"/>
    <col width="12" customWidth="1" min="7" max="7"/>
    <col width="11.6640625" customWidth="1" min="10" max="10"/>
    <col width="13.5546875" customWidth="1" min="12" max="12"/>
    <col width="15" customWidth="1" min="13" max="13"/>
    <col width="14.5546875" customWidth="1" min="14" max="14"/>
    <col width="11.88671875" customWidth="1" min="17" max="17"/>
    <col width="11.88671875" customWidth="1" min="19" max="19"/>
    <col width="12.33203125" customWidth="1" min="20" max="20"/>
  </cols>
  <sheetData>
    <row r="3" ht="24.6" customHeight="1">
      <c r="A3" s="67" t="inlineStr">
        <is>
          <t>Lab</t>
        </is>
      </c>
      <c r="B3" s="66" t="inlineStr">
        <is>
          <t>Amostras Testadas e Validadas</t>
        </is>
      </c>
      <c r="C3" s="66" t="inlineStr">
        <is>
          <t># Amostras da colheita na US ao registo no Lab</t>
        </is>
      </c>
      <c r="D3" s="110" t="n"/>
      <c r="E3" s="110" t="n"/>
      <c r="F3" s="110" t="n"/>
      <c r="G3" s="111" t="n"/>
      <c r="H3" s="66" t="inlineStr">
        <is>
          <t># Amostras do registo no Lab a análise</t>
        </is>
      </c>
      <c r="I3" s="110" t="n"/>
      <c r="J3" s="110" t="n"/>
      <c r="K3" s="111" t="n"/>
      <c r="L3" s="66" t="inlineStr">
        <is>
          <t># Amostras da analise a validação</t>
        </is>
      </c>
      <c r="M3" s="110" t="n"/>
      <c r="N3" s="111" t="n"/>
      <c r="O3" s="66" t="inlineStr">
        <is>
          <t>Tempo de Resposta Total</t>
        </is>
      </c>
      <c r="P3" s="110" t="n"/>
      <c r="Q3" s="110" t="n"/>
      <c r="R3" s="111" t="n"/>
      <c r="S3" s="66" t="inlineStr">
        <is>
          <t>TRL (media em dias)</t>
        </is>
      </c>
      <c r="T3" s="66" t="inlineStr">
        <is>
          <t>Incompletude do FSR</t>
        </is>
      </c>
      <c r="U3" s="110" t="n"/>
      <c r="V3" s="111" t="n"/>
    </row>
    <row r="4" ht="28.8" customHeight="1">
      <c r="A4" s="112" t="n"/>
      <c r="B4" s="112" t="n"/>
      <c r="C4" s="66" t="inlineStr">
        <is>
          <t>&lt;7 dias</t>
        </is>
      </c>
      <c r="D4" s="66" t="inlineStr">
        <is>
          <t>7-15 dias</t>
        </is>
      </c>
      <c r="E4" s="66" t="inlineStr">
        <is>
          <t>16-21 dias</t>
        </is>
      </c>
      <c r="F4" s="66" t="inlineStr">
        <is>
          <t>&gt;21 dias</t>
        </is>
      </c>
      <c r="G4" s="66" t="inlineStr">
        <is>
          <t>Sem data de colheita</t>
        </is>
      </c>
      <c r="H4" s="66" t="inlineStr">
        <is>
          <t>&lt;7 dias</t>
        </is>
      </c>
      <c r="I4" s="66" t="inlineStr">
        <is>
          <t>7-15 dias</t>
        </is>
      </c>
      <c r="J4" s="66" t="inlineStr">
        <is>
          <t>16-21 dias</t>
        </is>
      </c>
      <c r="K4" s="66" t="inlineStr">
        <is>
          <t>&gt;21 dias</t>
        </is>
      </c>
      <c r="L4" s="66" t="inlineStr">
        <is>
          <t>&lt;2 dias</t>
        </is>
      </c>
      <c r="M4" s="66" t="inlineStr">
        <is>
          <t>2-7 dias</t>
        </is>
      </c>
      <c r="N4" s="66" t="inlineStr">
        <is>
          <t>&gt;7 dias</t>
        </is>
      </c>
      <c r="O4" s="66" t="inlineStr">
        <is>
          <t>&lt;7 dias</t>
        </is>
      </c>
      <c r="P4" s="66" t="inlineStr">
        <is>
          <t>7-15 dias</t>
        </is>
      </c>
      <c r="Q4" s="66" t="inlineStr">
        <is>
          <t>16-21 dias</t>
        </is>
      </c>
      <c r="R4" s="66" t="inlineStr">
        <is>
          <t>&gt;21 dias</t>
        </is>
      </c>
      <c r="S4" s="112" t="n"/>
      <c r="T4" s="66" t="inlineStr">
        <is>
          <t>Sem data de colheita</t>
        </is>
      </c>
      <c r="U4" s="66" t="inlineStr">
        <is>
          <t>Sem idade</t>
        </is>
      </c>
      <c r="V4" s="66" t="inlineStr">
        <is>
          <t>Sem sexo</t>
        </is>
      </c>
    </row>
    <row r="5">
      <c r="A5" s="17" t="inlineStr">
        <is>
          <t>Cabo Delgado</t>
        </is>
      </c>
      <c r="B5" s="21" t="n">
        <v>1225</v>
      </c>
      <c r="C5" s="18" t="n">
        <v>812</v>
      </c>
      <c r="D5" s="18" t="n">
        <v>324</v>
      </c>
      <c r="E5" s="18" t="n">
        <v>23</v>
      </c>
      <c r="F5" s="18" t="n">
        <v>35</v>
      </c>
      <c r="G5" s="18" t="n">
        <v>31</v>
      </c>
      <c r="H5" s="19" t="n">
        <v>45</v>
      </c>
      <c r="I5" s="19" t="n">
        <v>658</v>
      </c>
      <c r="J5" s="19" t="n">
        <v>434</v>
      </c>
      <c r="K5" s="19" t="n">
        <v>88</v>
      </c>
      <c r="L5" s="20" t="n">
        <v>1212</v>
      </c>
      <c r="M5" s="20" t="n">
        <v>13</v>
      </c>
      <c r="N5" s="20" t="n">
        <v>0</v>
      </c>
      <c r="O5" s="22" t="n">
        <v>4</v>
      </c>
      <c r="P5" s="22" t="n">
        <v>229</v>
      </c>
      <c r="Q5" s="22" t="n">
        <v>489</v>
      </c>
      <c r="R5" s="22" t="n">
        <v>472</v>
      </c>
      <c r="S5" s="27" t="n">
        <v>22</v>
      </c>
      <c r="T5" s="23" t="n">
        <v>5</v>
      </c>
      <c r="U5" s="23" t="n">
        <v>26</v>
      </c>
      <c r="V5" s="23" t="n">
        <v>4</v>
      </c>
    </row>
    <row r="6">
      <c r="A6" s="17" t="inlineStr">
        <is>
          <t>Carmelo</t>
        </is>
      </c>
      <c r="B6" s="21" t="n">
        <v>805</v>
      </c>
      <c r="C6" s="18" t="n">
        <v>485</v>
      </c>
      <c r="D6" s="18" t="n">
        <v>301</v>
      </c>
      <c r="E6" s="18" t="n">
        <v>1</v>
      </c>
      <c r="F6" s="18" t="n">
        <v>17</v>
      </c>
      <c r="G6" s="18" t="n">
        <v>1</v>
      </c>
      <c r="H6" s="19" t="n">
        <v>802</v>
      </c>
      <c r="I6" s="19" t="n">
        <v>3</v>
      </c>
      <c r="J6" s="19" t="n">
        <v>0</v>
      </c>
      <c r="K6" s="19" t="n">
        <v>0</v>
      </c>
      <c r="L6" s="20" t="n">
        <v>558</v>
      </c>
      <c r="M6" s="20" t="n">
        <v>247</v>
      </c>
      <c r="N6" s="20" t="n">
        <v>0</v>
      </c>
      <c r="O6" s="22" t="n">
        <v>171</v>
      </c>
      <c r="P6" s="22" t="n">
        <v>604</v>
      </c>
      <c r="Q6" s="22" t="n">
        <v>12</v>
      </c>
      <c r="R6" s="22" t="n">
        <v>17</v>
      </c>
      <c r="S6" s="27" t="n">
        <v>8</v>
      </c>
      <c r="T6" s="23" t="n">
        <v>36</v>
      </c>
      <c r="U6" s="23" t="n">
        <v>12</v>
      </c>
      <c r="V6" s="23" t="n">
        <v>5</v>
      </c>
    </row>
    <row r="7">
      <c r="A7" s="17" t="inlineStr">
        <is>
          <t>Chimoio</t>
        </is>
      </c>
      <c r="B7" s="21" t="n">
        <v>2966</v>
      </c>
      <c r="C7" s="18" t="n">
        <v>2433</v>
      </c>
      <c r="D7" s="18" t="n">
        <v>481</v>
      </c>
      <c r="E7" s="18" t="n">
        <v>7</v>
      </c>
      <c r="F7" s="18" t="n">
        <v>31</v>
      </c>
      <c r="G7" s="18" t="n">
        <v>14</v>
      </c>
      <c r="H7" s="19" t="n">
        <v>1324</v>
      </c>
      <c r="I7" s="19" t="n">
        <v>1391</v>
      </c>
      <c r="J7" s="19" t="n">
        <v>240</v>
      </c>
      <c r="K7" s="19" t="n">
        <v>11</v>
      </c>
      <c r="L7" s="20" t="n">
        <v>2966</v>
      </c>
      <c r="M7" s="20" t="n">
        <v>0</v>
      </c>
      <c r="N7" s="20" t="n">
        <v>0</v>
      </c>
      <c r="O7" s="22" t="n">
        <v>481</v>
      </c>
      <c r="P7" s="22" t="n">
        <v>1461</v>
      </c>
      <c r="Q7" s="22" t="n">
        <v>826</v>
      </c>
      <c r="R7" s="22" t="n">
        <v>184</v>
      </c>
      <c r="S7" s="27" t="n">
        <v>12</v>
      </c>
      <c r="T7" s="23" t="n">
        <v>13</v>
      </c>
      <c r="U7" s="23" t="n">
        <v>32</v>
      </c>
      <c r="V7" s="23" t="n">
        <v>5</v>
      </c>
    </row>
    <row r="8">
      <c r="A8" s="30" t="inlineStr">
        <is>
          <t>Dream Beira</t>
        </is>
      </c>
      <c r="B8" s="21" t="n">
        <v>1694</v>
      </c>
      <c r="C8" s="18" t="n">
        <v>386</v>
      </c>
      <c r="D8" s="18" t="n">
        <v>724</v>
      </c>
      <c r="E8" s="18" t="n">
        <v>200</v>
      </c>
      <c r="F8" s="18" t="n">
        <v>349</v>
      </c>
      <c r="G8" s="18" t="n">
        <v>35</v>
      </c>
      <c r="H8" s="19" t="n">
        <v>1367</v>
      </c>
      <c r="I8" s="19" t="n">
        <v>325</v>
      </c>
      <c r="J8" s="19" t="n">
        <v>0</v>
      </c>
      <c r="K8" s="19" t="n">
        <v>2</v>
      </c>
      <c r="L8" s="20" t="n">
        <v>1685</v>
      </c>
      <c r="M8" s="20" t="n">
        <v>9</v>
      </c>
      <c r="N8" s="20" t="n">
        <v>0</v>
      </c>
      <c r="O8" s="22" t="n">
        <v>344</v>
      </c>
      <c r="P8" s="22" t="n">
        <v>526</v>
      </c>
      <c r="Q8" s="22" t="n">
        <v>339</v>
      </c>
      <c r="R8" s="22" t="n">
        <v>450</v>
      </c>
      <c r="S8" s="27" t="n">
        <v>19</v>
      </c>
      <c r="T8" s="23" t="n">
        <v>109</v>
      </c>
      <c r="U8" s="23" t="n">
        <v>22</v>
      </c>
      <c r="V8" s="23" t="n">
        <v>0</v>
      </c>
    </row>
    <row r="9">
      <c r="A9" s="17" t="inlineStr">
        <is>
          <t>Dream Maputo</t>
        </is>
      </c>
      <c r="B9" s="21" t="n">
        <v>741</v>
      </c>
      <c r="C9" s="18" t="n">
        <v>740</v>
      </c>
      <c r="D9" s="18" t="n">
        <v>0</v>
      </c>
      <c r="E9" s="18" t="n">
        <v>0</v>
      </c>
      <c r="F9" s="18" t="n">
        <v>0</v>
      </c>
      <c r="G9" s="18" t="n">
        <v>1</v>
      </c>
      <c r="H9" s="19" t="n">
        <v>741</v>
      </c>
      <c r="I9" s="19" t="n">
        <v>0</v>
      </c>
      <c r="J9" s="19" t="n">
        <v>0</v>
      </c>
      <c r="K9" s="19" t="n">
        <v>0</v>
      </c>
      <c r="L9" s="20" t="n">
        <v>453</v>
      </c>
      <c r="M9" s="20" t="n">
        <v>288</v>
      </c>
      <c r="N9" s="20" t="n">
        <v>0</v>
      </c>
      <c r="O9" s="22" t="n">
        <v>680</v>
      </c>
      <c r="P9" s="22" t="n">
        <v>60</v>
      </c>
      <c r="Q9" s="22" t="n">
        <v>0</v>
      </c>
      <c r="R9" s="22" t="n">
        <v>0</v>
      </c>
      <c r="S9" s="27" t="n">
        <v>4</v>
      </c>
      <c r="T9" s="23" t="n">
        <v>1</v>
      </c>
      <c r="U9" s="23" t="n">
        <v>10</v>
      </c>
      <c r="V9" s="23" t="n">
        <v>1</v>
      </c>
    </row>
    <row r="10">
      <c r="A10" s="17" t="inlineStr">
        <is>
          <t>INS</t>
        </is>
      </c>
      <c r="B10" s="21" t="n">
        <v>621</v>
      </c>
      <c r="C10" s="18" t="n">
        <v>333</v>
      </c>
      <c r="D10" s="18" t="n">
        <v>154</v>
      </c>
      <c r="E10" s="18" t="n">
        <v>30</v>
      </c>
      <c r="F10" s="18" t="n">
        <v>100</v>
      </c>
      <c r="G10" s="18" t="n">
        <v>4</v>
      </c>
      <c r="H10" s="19" t="n">
        <v>450</v>
      </c>
      <c r="I10" s="19" t="n">
        <v>170</v>
      </c>
      <c r="J10" s="19" t="n">
        <v>1</v>
      </c>
      <c r="K10" s="19" t="n">
        <v>0</v>
      </c>
      <c r="L10" s="20" t="n">
        <v>620</v>
      </c>
      <c r="M10" s="20" t="n">
        <v>1</v>
      </c>
      <c r="N10" s="20" t="n">
        <v>0</v>
      </c>
      <c r="O10" s="22" t="n">
        <v>37</v>
      </c>
      <c r="P10" s="22" t="n">
        <v>371</v>
      </c>
      <c r="Q10" s="22" t="n">
        <v>86</v>
      </c>
      <c r="R10" s="22" t="n">
        <v>123</v>
      </c>
      <c r="S10" s="27" t="n">
        <v>16</v>
      </c>
      <c r="T10" s="23" t="n">
        <v>0</v>
      </c>
      <c r="U10" s="23" t="n">
        <v>0</v>
      </c>
      <c r="V10" s="23" t="n">
        <v>0</v>
      </c>
      <c r="X10" s="13" t="n"/>
      <c r="Y10" s="13" t="n"/>
      <c r="Z10" s="13" t="n"/>
    </row>
    <row r="11">
      <c r="A11" s="17" t="inlineStr">
        <is>
          <t>Lichinga</t>
        </is>
      </c>
      <c r="B11" s="21" t="n">
        <v>853</v>
      </c>
      <c r="C11" s="18" t="n">
        <v>486</v>
      </c>
      <c r="D11" s="18" t="n">
        <v>275</v>
      </c>
      <c r="E11" s="18" t="n">
        <v>37</v>
      </c>
      <c r="F11" s="18" t="n">
        <v>54</v>
      </c>
      <c r="G11" s="18" t="n">
        <v>1</v>
      </c>
      <c r="H11" s="19" t="n">
        <v>853</v>
      </c>
      <c r="I11" s="19" t="n">
        <v>0</v>
      </c>
      <c r="J11" s="19" t="n">
        <v>0</v>
      </c>
      <c r="K11" s="19" t="n">
        <v>0</v>
      </c>
      <c r="L11" s="20" t="n">
        <v>802</v>
      </c>
      <c r="M11" s="20" t="n">
        <v>51</v>
      </c>
      <c r="N11" s="20" t="n">
        <v>0</v>
      </c>
      <c r="O11" s="22" t="n">
        <v>317</v>
      </c>
      <c r="P11" s="22" t="n">
        <v>423</v>
      </c>
      <c r="Q11" s="22" t="n">
        <v>52</v>
      </c>
      <c r="R11" s="22" t="n">
        <v>60</v>
      </c>
      <c r="S11" s="27" t="n">
        <v>9</v>
      </c>
      <c r="T11" s="23" t="n">
        <v>6</v>
      </c>
      <c r="U11" s="23" t="n">
        <v>4</v>
      </c>
      <c r="V11" s="23" t="n">
        <v>3</v>
      </c>
      <c r="X11" s="13" t="n"/>
      <c r="Y11" s="13" t="n"/>
      <c r="Z11" s="13" t="n"/>
    </row>
    <row r="12">
      <c r="A12" s="17" t="inlineStr">
        <is>
          <t>Machava</t>
        </is>
      </c>
      <c r="B12" s="21" t="n">
        <v>734</v>
      </c>
      <c r="C12" s="18" t="n">
        <v>604</v>
      </c>
      <c r="D12" s="18" t="n">
        <v>124</v>
      </c>
      <c r="E12" s="18" t="n">
        <v>0</v>
      </c>
      <c r="F12" s="18" t="n">
        <v>6</v>
      </c>
      <c r="G12" s="18" t="n">
        <v>0</v>
      </c>
      <c r="H12" s="19" t="n">
        <v>705</v>
      </c>
      <c r="I12" s="19" t="n">
        <v>29</v>
      </c>
      <c r="J12" s="19" t="n">
        <v>0</v>
      </c>
      <c r="K12" s="19" t="n">
        <v>0</v>
      </c>
      <c r="L12" s="20" t="n">
        <v>734</v>
      </c>
      <c r="M12" s="20" t="n">
        <v>0</v>
      </c>
      <c r="N12" s="20" t="n">
        <v>0</v>
      </c>
      <c r="O12" s="22" t="n">
        <v>462</v>
      </c>
      <c r="P12" s="22" t="n">
        <v>234</v>
      </c>
      <c r="Q12" s="22" t="n">
        <v>32</v>
      </c>
      <c r="R12" s="22" t="n">
        <v>6</v>
      </c>
      <c r="S12" s="27" t="n">
        <v>7</v>
      </c>
      <c r="T12" s="38" t="n">
        <v>4</v>
      </c>
      <c r="U12" s="38" t="n">
        <v>5</v>
      </c>
      <c r="V12" s="38" t="n">
        <v>1</v>
      </c>
    </row>
    <row r="13">
      <c r="A13" s="30" t="inlineStr">
        <is>
          <t>Mavalane</t>
        </is>
      </c>
      <c r="B13" s="21" t="n">
        <v>3990</v>
      </c>
      <c r="C13" s="18" t="n">
        <v>3891</v>
      </c>
      <c r="D13" s="18" t="n">
        <v>84</v>
      </c>
      <c r="E13" s="18" t="n">
        <v>3</v>
      </c>
      <c r="F13" s="18" t="n">
        <v>5</v>
      </c>
      <c r="G13" s="18" t="n">
        <v>7</v>
      </c>
      <c r="H13" s="19" t="n">
        <v>2746</v>
      </c>
      <c r="I13" s="19" t="n">
        <v>1190</v>
      </c>
      <c r="J13" s="19" t="n">
        <v>36</v>
      </c>
      <c r="K13" s="19" t="n">
        <v>18</v>
      </c>
      <c r="L13" s="20" t="n">
        <v>3990</v>
      </c>
      <c r="M13" s="20" t="n">
        <v>0</v>
      </c>
      <c r="N13" s="20" t="n">
        <v>0</v>
      </c>
      <c r="O13" s="22" t="n">
        <v>1842</v>
      </c>
      <c r="P13" s="22" t="n">
        <v>2067</v>
      </c>
      <c r="Q13" s="22" t="n">
        <v>30</v>
      </c>
      <c r="R13" s="22" t="n">
        <v>44</v>
      </c>
      <c r="S13" s="27" t="n">
        <v>7</v>
      </c>
      <c r="T13" s="38" t="n">
        <v>4</v>
      </c>
      <c r="U13" s="38" t="n">
        <v>16</v>
      </c>
      <c r="V13" s="38" t="n">
        <v>0</v>
      </c>
    </row>
    <row r="14">
      <c r="A14" s="17" t="inlineStr">
        <is>
          <t>Nampula</t>
        </is>
      </c>
      <c r="B14" s="21" t="n">
        <v>6218</v>
      </c>
      <c r="C14" s="18" t="n">
        <v>3050</v>
      </c>
      <c r="D14" s="18" t="n">
        <v>2206</v>
      </c>
      <c r="E14" s="18" t="n">
        <v>522</v>
      </c>
      <c r="F14" s="18" t="n">
        <v>424</v>
      </c>
      <c r="G14" s="18" t="n">
        <v>16</v>
      </c>
      <c r="H14" s="19" t="n">
        <v>122</v>
      </c>
      <c r="I14" s="19" t="n">
        <v>2835</v>
      </c>
      <c r="J14" s="19" t="n">
        <v>2574</v>
      </c>
      <c r="K14" s="19" t="n">
        <v>687</v>
      </c>
      <c r="L14" s="20" t="n">
        <v>3696</v>
      </c>
      <c r="M14" s="20" t="n">
        <v>2521</v>
      </c>
      <c r="N14" s="20" t="n">
        <v>0</v>
      </c>
      <c r="O14" s="22" t="n">
        <v>6</v>
      </c>
      <c r="P14" s="22" t="n">
        <v>319</v>
      </c>
      <c r="Q14" s="22" t="n">
        <v>1631</v>
      </c>
      <c r="R14" s="22" t="n">
        <v>4245</v>
      </c>
      <c r="S14" s="27" t="n">
        <v>26</v>
      </c>
      <c r="T14" s="38" t="n">
        <v>2</v>
      </c>
      <c r="U14" s="38" t="n">
        <v>47</v>
      </c>
      <c r="V14" s="38" t="n">
        <v>2</v>
      </c>
    </row>
    <row r="15">
      <c r="A15" s="30" t="inlineStr">
        <is>
          <t>Ponta Gea</t>
        </is>
      </c>
      <c r="B15" s="21" t="n">
        <v>3882</v>
      </c>
      <c r="C15" s="18" t="n">
        <v>1707</v>
      </c>
      <c r="D15" s="18" t="n">
        <v>1795</v>
      </c>
      <c r="E15" s="18" t="n">
        <v>225</v>
      </c>
      <c r="F15" s="18" t="n">
        <v>144</v>
      </c>
      <c r="G15" s="18" t="n">
        <v>11</v>
      </c>
      <c r="H15" s="19" t="n">
        <v>1179</v>
      </c>
      <c r="I15" s="19" t="n">
        <v>444</v>
      </c>
      <c r="J15" s="19" t="n">
        <v>263</v>
      </c>
      <c r="K15" s="19" t="n">
        <v>1996</v>
      </c>
      <c r="L15" s="20" t="n">
        <v>3852</v>
      </c>
      <c r="M15" s="20" t="n">
        <v>30</v>
      </c>
      <c r="N15" s="20" t="n">
        <v>0</v>
      </c>
      <c r="O15" s="22" t="n">
        <v>669</v>
      </c>
      <c r="P15" s="22" t="n">
        <v>531</v>
      </c>
      <c r="Q15" s="22" t="n">
        <v>276</v>
      </c>
      <c r="R15" s="22" t="n">
        <v>2395</v>
      </c>
      <c r="S15" s="27" t="n">
        <v>34</v>
      </c>
      <c r="T15" s="23" t="n">
        <v>6</v>
      </c>
      <c r="U15" s="23" t="n">
        <v>31</v>
      </c>
      <c r="V15" s="23" t="n">
        <v>4</v>
      </c>
    </row>
    <row r="16">
      <c r="A16" s="17" t="inlineStr">
        <is>
          <t>Quelimane</t>
        </is>
      </c>
      <c r="B16" s="21" t="n">
        <v>8135</v>
      </c>
      <c r="C16" s="18" t="n">
        <v>5168</v>
      </c>
      <c r="D16" s="18" t="n">
        <v>2129</v>
      </c>
      <c r="E16" s="18" t="n">
        <v>245</v>
      </c>
      <c r="F16" s="18" t="n">
        <v>532</v>
      </c>
      <c r="G16" s="18" t="n">
        <v>61</v>
      </c>
      <c r="H16" s="19" t="n">
        <v>7923</v>
      </c>
      <c r="I16" s="19" t="n">
        <v>189</v>
      </c>
      <c r="J16" s="19" t="n">
        <v>12</v>
      </c>
      <c r="K16" s="19" t="n">
        <v>11</v>
      </c>
      <c r="L16" s="20" t="n">
        <v>8133</v>
      </c>
      <c r="M16" s="20" t="n">
        <v>2</v>
      </c>
      <c r="N16" s="20" t="n">
        <v>0</v>
      </c>
      <c r="O16" s="22" t="n">
        <v>3080</v>
      </c>
      <c r="P16" s="22" t="n">
        <v>3776</v>
      </c>
      <c r="Q16" s="22" t="n">
        <v>589</v>
      </c>
      <c r="R16" s="22" t="n">
        <v>629</v>
      </c>
      <c r="S16" s="27" t="n">
        <v>10</v>
      </c>
      <c r="T16" s="23" t="n">
        <v>15</v>
      </c>
      <c r="U16" s="23" t="n">
        <v>34</v>
      </c>
      <c r="V16" s="23" t="n">
        <v>2</v>
      </c>
    </row>
    <row r="17">
      <c r="A17" s="17" t="inlineStr">
        <is>
          <t>Tete</t>
        </is>
      </c>
      <c r="B17" s="21" t="n">
        <v>1651</v>
      </c>
      <c r="C17" s="18" t="n">
        <v>370</v>
      </c>
      <c r="D17" s="18" t="n">
        <v>719</v>
      </c>
      <c r="E17" s="18" t="n">
        <v>195</v>
      </c>
      <c r="F17" s="18" t="n">
        <v>351</v>
      </c>
      <c r="G17" s="18" t="n">
        <v>16</v>
      </c>
      <c r="H17" s="19" t="n">
        <v>1426</v>
      </c>
      <c r="I17" s="19" t="n">
        <v>224</v>
      </c>
      <c r="J17" s="19" t="n">
        <v>1</v>
      </c>
      <c r="K17" s="19" t="n">
        <v>0</v>
      </c>
      <c r="L17" s="20" t="n">
        <v>1544</v>
      </c>
      <c r="M17" s="20" t="n">
        <v>107</v>
      </c>
      <c r="N17" s="20" t="n">
        <v>0</v>
      </c>
      <c r="O17" s="22" t="n">
        <v>114</v>
      </c>
      <c r="P17" s="22" t="n">
        <v>777</v>
      </c>
      <c r="Q17" s="22" t="n">
        <v>275</v>
      </c>
      <c r="R17" s="22" t="n">
        <v>469</v>
      </c>
      <c r="S17" s="27" t="n">
        <v>18</v>
      </c>
      <c r="T17" s="23" t="n">
        <v>21</v>
      </c>
      <c r="U17" s="23" t="n">
        <v>51</v>
      </c>
      <c r="V17" s="23" t="n">
        <v>2</v>
      </c>
    </row>
    <row r="18">
      <c r="A18" s="17" t="inlineStr">
        <is>
          <t>Xai-Xai</t>
        </is>
      </c>
      <c r="B18" s="21" t="n">
        <v>6696</v>
      </c>
      <c r="C18" s="18" t="n">
        <v>2512</v>
      </c>
      <c r="D18" s="18" t="n">
        <v>1547</v>
      </c>
      <c r="E18" s="18" t="n">
        <v>195</v>
      </c>
      <c r="F18" s="18" t="n">
        <v>2425</v>
      </c>
      <c r="G18" s="18" t="n">
        <v>17</v>
      </c>
      <c r="H18" s="19" t="n">
        <v>6553</v>
      </c>
      <c r="I18" s="19" t="n">
        <v>141</v>
      </c>
      <c r="J18" s="19" t="n">
        <v>1</v>
      </c>
      <c r="K18" s="19" t="n">
        <v>1</v>
      </c>
      <c r="L18" s="20" t="n">
        <v>6318</v>
      </c>
      <c r="M18" s="20" t="n">
        <v>378</v>
      </c>
      <c r="N18" s="20" t="n">
        <v>0</v>
      </c>
      <c r="O18" s="22" t="n">
        <v>917</v>
      </c>
      <c r="P18" s="22" t="n">
        <v>2964</v>
      </c>
      <c r="Q18" s="22" t="n">
        <v>294</v>
      </c>
      <c r="R18" s="22" t="n">
        <v>2504</v>
      </c>
      <c r="S18" s="27" t="n">
        <v>21</v>
      </c>
      <c r="T18" s="23" t="n">
        <v>19</v>
      </c>
      <c r="U18" s="23" t="n">
        <v>62</v>
      </c>
      <c r="V18" s="23" t="n">
        <v>10</v>
      </c>
    </row>
    <row r="19" customFormat="1" s="5">
      <c r="A19" s="31" t="inlineStr">
        <is>
          <t>TOTAL</t>
        </is>
      </c>
      <c r="B19" s="26">
        <f>SUM(B5:B18)</f>
        <v/>
      </c>
      <c r="C19" s="25">
        <f>SUM(C5:C18)</f>
        <v/>
      </c>
      <c r="D19" s="25">
        <f>SUM(D5:D18)</f>
        <v/>
      </c>
      <c r="E19" s="25">
        <f>SUM(E5:E18)</f>
        <v/>
      </c>
      <c r="F19" s="25">
        <f>SUM(F5:F18)</f>
        <v/>
      </c>
      <c r="G19" s="25">
        <f>SUM(G5:G18)</f>
        <v/>
      </c>
      <c r="H19" s="12">
        <f>SUM(H5:H18)</f>
        <v/>
      </c>
      <c r="I19" s="12">
        <f>SUM(I5:I18)</f>
        <v/>
      </c>
      <c r="J19" s="12">
        <f>SUM(J5:J18)</f>
        <v/>
      </c>
      <c r="K19" s="12">
        <f>SUM(K5:K18)</f>
        <v/>
      </c>
      <c r="L19" s="26">
        <f>SUM(L5:L18)</f>
        <v/>
      </c>
      <c r="M19" s="26">
        <f>SUM(M5:M18)</f>
        <v/>
      </c>
      <c r="N19" s="26">
        <f>SUM(N5:N18)</f>
        <v/>
      </c>
      <c r="O19" s="27">
        <f>SUM(O5:O18)</f>
        <v/>
      </c>
      <c r="P19" s="27">
        <f>SUM(P5:P18)</f>
        <v/>
      </c>
      <c r="Q19" s="27">
        <f>SUM(Q5:Q18)</f>
        <v/>
      </c>
      <c r="R19" s="27">
        <f>SUM(R5:R18)</f>
        <v/>
      </c>
      <c r="S19" s="37">
        <f>AVERAGE(S5:S18)</f>
        <v/>
      </c>
      <c r="T19" s="28">
        <f>SUM(T5:T18)</f>
        <v/>
      </c>
      <c r="U19" s="28">
        <f>SUM(U5:U18)</f>
        <v/>
      </c>
      <c r="V19" s="28">
        <f>SUM(V5:V18)</f>
        <v/>
      </c>
    </row>
    <row r="20" customFormat="1" s="24">
      <c r="A20" s="32" t="n"/>
    </row>
    <row r="21" customFormat="1" s="24">
      <c r="A21" s="32" t="n"/>
    </row>
    <row r="22" customFormat="1" s="24">
      <c r="A22" s="32" t="n"/>
    </row>
    <row r="23" customFormat="1" s="24">
      <c r="A23" s="32" t="n"/>
    </row>
    <row r="24" ht="24.6" customHeight="1">
      <c r="A24" s="67" t="inlineStr">
        <is>
          <t>Lab</t>
        </is>
      </c>
      <c r="B24" s="66" t="inlineStr">
        <is>
          <t>Amostras Registadas</t>
        </is>
      </c>
      <c r="C24" s="66" t="inlineStr">
        <is>
          <t># Amostras da colheita na US ao registo no Lab</t>
        </is>
      </c>
      <c r="D24" s="110" t="n"/>
      <c r="E24" s="110" t="n"/>
      <c r="F24" s="110" t="n"/>
      <c r="G24" s="111" t="n"/>
      <c r="H24" s="66" t="inlineStr">
        <is>
          <t># Amostras do registo no Lab a análise</t>
        </is>
      </c>
      <c r="I24" s="110" t="n"/>
      <c r="J24" s="110" t="n"/>
      <c r="K24" s="110" t="n"/>
      <c r="L24" s="111" t="n"/>
    </row>
    <row r="25" ht="28.8" customHeight="1">
      <c r="A25" s="112" t="n"/>
      <c r="B25" s="112" t="n"/>
      <c r="C25" s="66" t="inlineStr">
        <is>
          <t>&lt;7 dias</t>
        </is>
      </c>
      <c r="D25" s="66" t="inlineStr">
        <is>
          <t>7-15 dias</t>
        </is>
      </c>
      <c r="E25" s="66" t="inlineStr">
        <is>
          <t>16-21 dias</t>
        </is>
      </c>
      <c r="F25" s="66" t="inlineStr">
        <is>
          <t>&gt;21 dias</t>
        </is>
      </c>
      <c r="G25" s="66" t="inlineStr">
        <is>
          <t>Sem data de colheita</t>
        </is>
      </c>
      <c r="H25" s="66" t="inlineStr">
        <is>
          <t>&lt;7 dias</t>
        </is>
      </c>
      <c r="I25" s="66" t="inlineStr">
        <is>
          <t>7-15 dias</t>
        </is>
      </c>
      <c r="J25" s="66" t="inlineStr">
        <is>
          <t>16-21 dias</t>
        </is>
      </c>
      <c r="K25" s="66" t="inlineStr">
        <is>
          <t>&gt;21 dias</t>
        </is>
      </c>
      <c r="L25" s="66" t="inlineStr">
        <is>
          <t>Não Analisadas</t>
        </is>
      </c>
    </row>
    <row r="26">
      <c r="A26" s="17" t="inlineStr">
        <is>
          <t>Cabo Delgado</t>
        </is>
      </c>
      <c r="B26" s="34" t="n"/>
      <c r="C26" s="18" t="n"/>
      <c r="D26" s="18" t="n"/>
      <c r="E26" s="18" t="n"/>
      <c r="F26" s="18" t="n"/>
      <c r="G26" s="18" t="n"/>
      <c r="H26" s="33" t="n"/>
      <c r="I26" s="33" t="n"/>
      <c r="J26" s="33" t="n"/>
      <c r="K26" s="33" t="n"/>
      <c r="L26" s="19" t="n"/>
    </row>
    <row r="27">
      <c r="A27" s="17" t="inlineStr">
        <is>
          <t>Carmelo</t>
        </is>
      </c>
      <c r="B27" s="34" t="n"/>
      <c r="C27" s="18" t="n"/>
      <c r="D27" s="18" t="n"/>
      <c r="E27" s="18" t="n"/>
      <c r="F27" s="18" t="n"/>
      <c r="G27" s="18" t="n"/>
      <c r="H27" s="19" t="n"/>
      <c r="I27" s="19" t="n"/>
      <c r="J27" s="19" t="n"/>
      <c r="K27" s="19" t="n"/>
      <c r="L27" s="19" t="n"/>
    </row>
    <row r="28">
      <c r="A28" s="17" t="inlineStr">
        <is>
          <t>Chimoio</t>
        </is>
      </c>
      <c r="B28" s="34" t="n"/>
      <c r="C28" s="18" t="n"/>
      <c r="D28" s="18" t="n"/>
      <c r="E28" s="18" t="n"/>
      <c r="F28" s="18" t="n"/>
      <c r="G28" s="18" t="n"/>
      <c r="H28" s="19" t="n"/>
      <c r="I28" s="19" t="n"/>
      <c r="J28" s="19" t="n"/>
      <c r="K28" s="19" t="n"/>
      <c r="L28" s="19" t="n"/>
    </row>
    <row r="29">
      <c r="A29" s="30" t="inlineStr">
        <is>
          <t>Dream Beira</t>
        </is>
      </c>
      <c r="B29" s="35" t="n"/>
      <c r="C29" s="18" t="n"/>
      <c r="D29" s="18" t="n"/>
      <c r="E29" s="18" t="n"/>
      <c r="F29" s="18" t="n"/>
      <c r="G29" s="18" t="n"/>
      <c r="H29" s="19" t="n"/>
      <c r="I29" s="19" t="n"/>
      <c r="J29" s="19" t="n"/>
      <c r="K29" s="19" t="n"/>
      <c r="L29" s="19" t="n"/>
    </row>
    <row r="30">
      <c r="A30" s="17" t="inlineStr">
        <is>
          <t>Dream Maputo</t>
        </is>
      </c>
      <c r="B30" s="34" t="n"/>
      <c r="C30" s="18" t="n"/>
      <c r="D30" s="18" t="n"/>
      <c r="E30" s="18" t="n"/>
      <c r="F30" s="18" t="n"/>
      <c r="G30" s="18" t="n"/>
      <c r="H30" s="19" t="n"/>
      <c r="I30" s="19" t="n"/>
      <c r="J30" s="19" t="n"/>
      <c r="K30" s="19" t="n"/>
      <c r="L30" s="19" t="n"/>
    </row>
    <row r="31">
      <c r="A31" s="17" t="inlineStr">
        <is>
          <t>INS</t>
        </is>
      </c>
      <c r="B31" s="34" t="n"/>
      <c r="C31" s="18" t="n"/>
      <c r="D31" s="18" t="n"/>
      <c r="E31" s="18" t="n"/>
      <c r="F31" s="18" t="n"/>
      <c r="G31" s="18" t="n"/>
      <c r="H31" s="19" t="n"/>
      <c r="I31" s="19" t="n"/>
      <c r="J31" s="19" t="n"/>
      <c r="K31" s="19" t="n"/>
      <c r="L31" s="19" t="n"/>
    </row>
    <row r="32">
      <c r="A32" s="17" t="inlineStr">
        <is>
          <t>Lichinga</t>
        </is>
      </c>
      <c r="B32" s="34" t="n"/>
      <c r="C32" s="18" t="n"/>
      <c r="D32" s="18" t="n"/>
      <c r="E32" s="18" t="n"/>
      <c r="F32" s="18" t="n"/>
      <c r="G32" s="18" t="n"/>
      <c r="H32" s="19" t="n"/>
      <c r="I32" s="19" t="n"/>
      <c r="J32" s="19" t="n"/>
      <c r="K32" s="19" t="n"/>
      <c r="L32" s="19" t="n"/>
    </row>
    <row r="33">
      <c r="A33" s="17" t="inlineStr">
        <is>
          <t>Machava</t>
        </is>
      </c>
      <c r="B33" s="34" t="n"/>
      <c r="C33" s="18" t="n"/>
      <c r="D33" s="18" t="n"/>
      <c r="E33" s="18" t="n"/>
      <c r="F33" s="18" t="n"/>
      <c r="G33" s="18" t="n"/>
      <c r="H33" s="19" t="n"/>
      <c r="I33" s="19" t="n"/>
      <c r="J33" s="19" t="n"/>
      <c r="K33" s="19" t="n"/>
      <c r="L33" s="19" t="n"/>
    </row>
    <row r="34">
      <c r="A34" s="17" t="inlineStr">
        <is>
          <t>Mavalane</t>
        </is>
      </c>
      <c r="B34" s="35" t="n"/>
      <c r="C34" s="18" t="n"/>
      <c r="D34" s="18" t="n"/>
      <c r="E34" s="18" t="n"/>
      <c r="F34" s="18" t="n"/>
      <c r="G34" s="18" t="n"/>
      <c r="H34" s="19" t="n"/>
      <c r="I34" s="19" t="n"/>
      <c r="J34" s="19" t="n"/>
      <c r="K34" s="19" t="n"/>
      <c r="L34" s="19" t="n"/>
    </row>
    <row r="35">
      <c r="A35" s="30" t="inlineStr">
        <is>
          <t>Nampula</t>
        </is>
      </c>
      <c r="B35" s="35" t="n"/>
      <c r="C35" s="18" t="n"/>
      <c r="D35" s="18" t="n"/>
      <c r="E35" s="18" t="n"/>
      <c r="F35" s="18" t="n"/>
      <c r="G35" s="18" t="n"/>
      <c r="H35" s="19" t="n"/>
      <c r="I35" s="19" t="n"/>
      <c r="J35" s="19" t="n"/>
      <c r="K35" s="19" t="n"/>
      <c r="L35" s="19" t="n"/>
    </row>
    <row r="36">
      <c r="A36" s="17" t="inlineStr">
        <is>
          <t>Ponta Gea</t>
        </is>
      </c>
      <c r="B36" s="34" t="n"/>
      <c r="C36" s="18" t="n"/>
      <c r="D36" s="18" t="n"/>
      <c r="E36" s="18" t="n"/>
      <c r="F36" s="18" t="n"/>
      <c r="G36" s="18" t="n"/>
      <c r="H36" s="19" t="n"/>
      <c r="I36" s="19" t="n"/>
      <c r="J36" s="19" t="n"/>
      <c r="K36" s="19" t="n"/>
      <c r="L36" s="19" t="n"/>
    </row>
    <row r="37">
      <c r="A37" s="30" t="inlineStr">
        <is>
          <t>Quelimane</t>
        </is>
      </c>
      <c r="B37" s="35" t="n"/>
      <c r="C37" s="18" t="n"/>
      <c r="D37" s="18" t="n"/>
      <c r="E37" s="18" t="n"/>
      <c r="F37" s="18" t="n"/>
      <c r="G37" s="18" t="n"/>
      <c r="H37" s="19" t="n"/>
      <c r="I37" s="19" t="n"/>
      <c r="J37" s="19" t="n"/>
      <c r="K37" s="19" t="n"/>
      <c r="L37" s="19" t="n"/>
    </row>
    <row r="38">
      <c r="A38" s="17" t="inlineStr">
        <is>
          <t>Tete</t>
        </is>
      </c>
      <c r="B38" s="34" t="n"/>
      <c r="C38" s="18" t="n"/>
      <c r="D38" s="18" t="n"/>
      <c r="E38" s="18" t="n"/>
      <c r="F38" s="18" t="n"/>
      <c r="G38" s="18" t="n"/>
      <c r="H38" s="19" t="n"/>
      <c r="I38" s="19" t="n"/>
      <c r="J38" s="19" t="n"/>
      <c r="K38" s="19" t="n"/>
      <c r="L38" s="19" t="n"/>
    </row>
    <row r="39">
      <c r="A39" s="17" t="inlineStr">
        <is>
          <t>Xai-Xai</t>
        </is>
      </c>
      <c r="B39" s="34" t="n"/>
      <c r="C39" s="18" t="n"/>
      <c r="D39" s="18" t="n"/>
      <c r="E39" s="18" t="n"/>
      <c r="F39" s="18" t="n"/>
      <c r="G39" s="18" t="n"/>
      <c r="H39" s="19" t="n"/>
      <c r="I39" s="19" t="n"/>
      <c r="J39" s="19" t="n"/>
      <c r="K39" s="19" t="n"/>
      <c r="L39" s="19" t="n"/>
    </row>
    <row r="40" customFormat="1" s="5">
      <c r="A40" s="31" t="inlineStr">
        <is>
          <t>TOTAL</t>
        </is>
      </c>
      <c r="B40" s="36">
        <f>SUM(B26:B39)</f>
        <v/>
      </c>
      <c r="C40" s="39">
        <f>SUM(C26:C39)</f>
        <v/>
      </c>
      <c r="D40" s="39">
        <f>SUM(D26:D39)</f>
        <v/>
      </c>
      <c r="E40" s="39">
        <f>SUM(E26:E39)</f>
        <v/>
      </c>
      <c r="F40" s="39">
        <f>SUM(F26:F39)</f>
        <v/>
      </c>
      <c r="G40" s="39">
        <f>SUM(G26:G39)</f>
        <v/>
      </c>
      <c r="H40" s="40">
        <f>SUM(H26:H39)</f>
        <v/>
      </c>
      <c r="I40" s="40">
        <f>SUM(I26:I39)</f>
        <v/>
      </c>
      <c r="J40" s="40">
        <f>SUM(J26:J39)</f>
        <v/>
      </c>
      <c r="K40" s="40">
        <f>SUM(K26:K39)</f>
        <v/>
      </c>
      <c r="L40" s="40">
        <f>SUM(L26:L39)</f>
        <v/>
      </c>
    </row>
    <row r="43">
      <c r="M43" s="13" t="n"/>
      <c r="W43" s="13" t="n"/>
    </row>
    <row r="44">
      <c r="D44" s="48" t="n"/>
      <c r="M44" s="13" t="n"/>
      <c r="W44" s="13" t="n"/>
    </row>
    <row r="45">
      <c r="M45" s="13" t="n"/>
      <c r="W45" s="13" t="n"/>
    </row>
    <row r="46">
      <c r="M46" s="13" t="n"/>
      <c r="W46" s="13" t="n"/>
    </row>
    <row r="47">
      <c r="M47" s="13" t="n"/>
      <c r="W47" s="13" t="n"/>
    </row>
    <row r="48">
      <c r="M48" s="13" t="n"/>
      <c r="W48" s="13" t="n"/>
    </row>
    <row r="49">
      <c r="M49" s="13" t="n"/>
      <c r="W49" s="13" t="n"/>
    </row>
    <row r="50">
      <c r="M50" s="13" t="n"/>
      <c r="W50" s="13" t="n"/>
    </row>
    <row r="51">
      <c r="M51" s="13" t="n"/>
      <c r="W51" s="13" t="n"/>
    </row>
    <row r="52">
      <c r="M52" s="13" t="n"/>
      <c r="W52" s="13" t="n"/>
    </row>
    <row r="53">
      <c r="M53" s="13" t="n"/>
      <c r="W53" s="13" t="n"/>
    </row>
    <row r="54">
      <c r="M54" s="13" t="n"/>
      <c r="W54" s="13" t="n"/>
    </row>
    <row r="55">
      <c r="M55" s="13" t="n"/>
      <c r="W55" s="13" t="n"/>
    </row>
    <row r="56">
      <c r="M56" s="13" t="n"/>
      <c r="W56" s="13" t="n"/>
    </row>
    <row r="57">
      <c r="M57" s="13" t="n"/>
      <c r="W57" s="13" t="n"/>
    </row>
  </sheetData>
  <mergeCells count="12">
    <mergeCell ref="A24:A25"/>
    <mergeCell ref="C24:G24"/>
    <mergeCell ref="H3:K3"/>
    <mergeCell ref="B3:B4"/>
    <mergeCell ref="A3:A4"/>
    <mergeCell ref="O3:R3"/>
    <mergeCell ref="H24:L24"/>
    <mergeCell ref="S3:S4"/>
    <mergeCell ref="T3:V3"/>
    <mergeCell ref="L3:N3"/>
    <mergeCell ref="B24:B25"/>
    <mergeCell ref="C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I43"/>
  <sheetViews>
    <sheetView zoomScaleNormal="100" workbookViewId="0">
      <selection activeCell="A1" sqref="A1"/>
    </sheetView>
  </sheetViews>
  <sheetFormatPr baseColWidth="8" defaultRowHeight="14.4"/>
  <cols>
    <col width="12.109375" customWidth="1" style="1" min="1" max="1"/>
    <col width="18.33203125" customWidth="1" style="24" min="2" max="2"/>
    <col width="16.109375" bestFit="1" customWidth="1" min="3" max="3"/>
    <col width="18.6640625" bestFit="1" customWidth="1" min="4" max="4"/>
    <col width="29.44140625" bestFit="1" customWidth="1" min="5" max="5"/>
    <col width="23.88671875" customWidth="1" min="6" max="6"/>
    <col width="13.33203125" bestFit="1" customWidth="1" style="1" min="7" max="7"/>
    <col width="10.6640625" bestFit="1" customWidth="1" style="1" min="8" max="8"/>
    <col width="19.88671875" customWidth="1" style="1" min="9" max="9"/>
    <col width="15.88671875" customWidth="1" style="1" min="10" max="10"/>
    <col width="6.6640625" bestFit="1" customWidth="1" style="1" min="11" max="11"/>
    <col width="8.44140625" bestFit="1" customWidth="1" style="1" min="12" max="12"/>
    <col width="9.44140625" bestFit="1" customWidth="1" style="1" min="13" max="13"/>
    <col width="7.6640625" bestFit="1" customWidth="1" style="1" min="14" max="14"/>
    <col width="11.44140625" bestFit="1" customWidth="1" style="1" min="15" max="15"/>
    <col width="6.6640625" bestFit="1" customWidth="1" style="1" min="16" max="16"/>
    <col width="8.44140625" bestFit="1" customWidth="1" style="1" min="17" max="17"/>
    <col width="9.44140625" bestFit="1" customWidth="1" style="1" min="18" max="18"/>
    <col width="7.6640625" bestFit="1" customWidth="1" style="1" min="19" max="19"/>
    <col width="13.5546875" customWidth="1" style="1" min="20" max="20"/>
    <col width="6.6640625" bestFit="1" customWidth="1" style="1" min="21" max="21"/>
    <col width="8.44140625" bestFit="1" customWidth="1" style="1" min="22" max="22"/>
    <col width="9.44140625" bestFit="1" customWidth="1" style="1" min="23" max="23"/>
    <col width="7.6640625" bestFit="1" customWidth="1" style="1" min="24" max="24"/>
    <col width="12.88671875" customWidth="1" style="1" min="25" max="25"/>
    <col width="6.6640625" bestFit="1" customWidth="1" style="1" min="26" max="26"/>
    <col width="7.44140625" bestFit="1" customWidth="1" style="1" min="27" max="27"/>
    <col width="6.6640625" bestFit="1" customWidth="1" style="1" min="28" max="28"/>
    <col width="15.109375" customWidth="1" style="1" min="29" max="29"/>
    <col width="6.6640625" bestFit="1" customWidth="1" style="1" min="30" max="30"/>
    <col width="8.44140625" bestFit="1" customWidth="1" style="1" min="31" max="31"/>
    <col width="9.44140625" bestFit="1" customWidth="1" style="1" min="32" max="32"/>
    <col width="7.6640625" bestFit="1" customWidth="1" style="1" min="33" max="33"/>
    <col width="12.33203125" customWidth="1" style="1" min="34" max="34"/>
    <col width="9.109375" bestFit="1" customWidth="1" style="4" min="35" max="35"/>
  </cols>
  <sheetData>
    <row r="2" ht="16.2" customHeight="1">
      <c r="B2" s="68" t="inlineStr">
        <is>
          <t>Tempo de Resposta Laboratorial das Amostras por Unidade Sanitária (Semana: 13 Julho - 19 Julho)</t>
        </is>
      </c>
    </row>
    <row r="4" ht="34.95" customHeight="1">
      <c r="A4" s="69" t="inlineStr">
        <is>
          <t>Código do SISMA</t>
        </is>
      </c>
      <c r="B4" s="70" t="inlineStr">
        <is>
          <t>Datim ID</t>
        </is>
      </c>
      <c r="C4" s="71" t="inlineStr">
        <is>
          <t>Província</t>
        </is>
      </c>
      <c r="D4" s="71" t="inlineStr">
        <is>
          <t>Distrito</t>
        </is>
      </c>
      <c r="E4" s="71" t="inlineStr">
        <is>
          <t>Unidade Sanitária</t>
        </is>
      </c>
      <c r="F4" s="71" t="inlineStr">
        <is>
          <t>Lab/DISAPOC</t>
        </is>
      </c>
      <c r="G4" s="72" t="inlineStr">
        <is>
          <t>Tipo de Teste</t>
        </is>
      </c>
      <c r="H4" s="72" t="inlineStr">
        <is>
          <t>Amostras Testadas</t>
        </is>
      </c>
      <c r="I4" s="72" t="inlineStr">
        <is>
          <t>Amostras Rejeitadas</t>
        </is>
      </c>
      <c r="J4" s="72" t="inlineStr">
        <is>
          <t>Amostras Testadas com Data de Colheita</t>
        </is>
      </c>
      <c r="K4" s="72" t="inlineStr">
        <is>
          <t>#Dias da Colheita na US à Recepção no Lab</t>
        </is>
      </c>
      <c r="L4" s="110" t="n"/>
      <c r="M4" s="110" t="n"/>
      <c r="N4" s="110" t="n"/>
      <c r="O4" s="111" t="n"/>
      <c r="P4" s="72" t="inlineStr">
        <is>
          <t>#Dias da Recepção na US ao Registo no Lab</t>
        </is>
      </c>
      <c r="Q4" s="110" t="n"/>
      <c r="R4" s="110" t="n"/>
      <c r="S4" s="110" t="n"/>
      <c r="T4" s="111" t="n"/>
      <c r="U4" s="72" t="inlineStr">
        <is>
          <t>#Dias do Registo no Lab à Analise</t>
        </is>
      </c>
      <c r="V4" s="110" t="n"/>
      <c r="W4" s="110" t="n"/>
      <c r="X4" s="110" t="n"/>
      <c r="Y4" s="111" t="n"/>
      <c r="Z4" s="72" t="inlineStr">
        <is>
          <t xml:space="preserve">#Dias da Analise à Validação		</t>
        </is>
      </c>
      <c r="AA4" s="110" t="n"/>
      <c r="AB4" s="110" t="n"/>
      <c r="AC4" s="111" t="n"/>
      <c r="AD4" s="72" t="inlineStr">
        <is>
          <t>Tempo de Resposta Total</t>
        </is>
      </c>
      <c r="AE4" s="110" t="n"/>
      <c r="AF4" s="110" t="n"/>
      <c r="AG4" s="110" t="n"/>
      <c r="AH4" s="111" t="n"/>
      <c r="AI4" s="72" t="inlineStr">
        <is>
          <t>TRL (dias)</t>
        </is>
      </c>
    </row>
    <row r="5" ht="29.4" customHeight="1">
      <c r="A5" s="112" t="n"/>
      <c r="B5" s="112" t="n"/>
      <c r="C5" s="112" t="n"/>
      <c r="D5" s="112" t="n"/>
      <c r="E5" s="112" t="n"/>
      <c r="F5" s="112" t="n"/>
      <c r="G5" s="112" t="n"/>
      <c r="H5" s="112" t="n"/>
      <c r="I5" s="112" t="n"/>
      <c r="J5" s="112" t="n"/>
      <c r="K5" s="72" t="inlineStr">
        <is>
          <t>&lt;7 dias</t>
        </is>
      </c>
      <c r="L5" s="72" t="inlineStr">
        <is>
          <t>7-15 dias</t>
        </is>
      </c>
      <c r="M5" s="72" t="inlineStr">
        <is>
          <t>16-21 dias</t>
        </is>
      </c>
      <c r="N5" s="72" t="inlineStr">
        <is>
          <t>&gt;21 dias</t>
        </is>
      </c>
      <c r="O5" s="72" t="inlineStr">
        <is>
          <t>Sem data de Recepção</t>
        </is>
      </c>
      <c r="P5" s="72" t="inlineStr">
        <is>
          <t>&lt;7 dias</t>
        </is>
      </c>
      <c r="Q5" s="72" t="inlineStr">
        <is>
          <t>7-15 dias</t>
        </is>
      </c>
      <c r="R5" s="72" t="inlineStr">
        <is>
          <t>16-21 dias</t>
        </is>
      </c>
      <c r="S5" s="72" t="inlineStr">
        <is>
          <t>&gt;21 dias</t>
        </is>
      </c>
      <c r="T5" s="72" t="inlineStr">
        <is>
          <t>Sem data de Recepção</t>
        </is>
      </c>
      <c r="U5" s="72" t="inlineStr">
        <is>
          <t>&lt;7 dias</t>
        </is>
      </c>
      <c r="V5" s="72" t="inlineStr">
        <is>
          <t>7-15 dias</t>
        </is>
      </c>
      <c r="W5" s="72" t="inlineStr">
        <is>
          <t>16-21 dias</t>
        </is>
      </c>
      <c r="X5" s="72" t="inlineStr">
        <is>
          <t>&gt;21 dias</t>
        </is>
      </c>
      <c r="Y5" s="72" t="inlineStr">
        <is>
          <t>Sem Data de Análise</t>
        </is>
      </c>
      <c r="Z5" s="72" t="inlineStr">
        <is>
          <t>&lt;2 dias</t>
        </is>
      </c>
      <c r="AA5" s="72" t="inlineStr">
        <is>
          <t>2-7 dias</t>
        </is>
      </c>
      <c r="AB5" s="72" t="inlineStr">
        <is>
          <t>&gt;7 dias</t>
        </is>
      </c>
      <c r="AC5" s="72" t="inlineStr">
        <is>
          <t>Sem data de Validação</t>
        </is>
      </c>
      <c r="AD5" s="72" t="inlineStr">
        <is>
          <t>&lt;7 dias</t>
        </is>
      </c>
      <c r="AE5" s="72" t="inlineStr">
        <is>
          <t>7-15 dias</t>
        </is>
      </c>
      <c r="AF5" s="72" t="inlineStr">
        <is>
          <t>16-21 dias</t>
        </is>
      </c>
      <c r="AG5" s="72" t="inlineStr">
        <is>
          <t>&gt;21 dias</t>
        </is>
      </c>
      <c r="AH5" s="72" t="inlineStr">
        <is>
          <t>Sem data de Validação</t>
        </is>
      </c>
      <c r="AI5" s="112" t="n"/>
    </row>
    <row r="6">
      <c r="A6" s="3" t="n"/>
      <c r="B6" s="2" t="n"/>
      <c r="C6" s="2" t="n"/>
      <c r="D6" s="2" t="n"/>
      <c r="E6" s="2" t="n"/>
      <c r="F6" s="2" t="n"/>
      <c r="G6" s="3" t="n"/>
      <c r="H6" s="3" t="n"/>
      <c r="I6" s="34" t="n"/>
      <c r="J6" s="50" t="n"/>
      <c r="K6" s="6" t="n"/>
      <c r="L6" s="6" t="n"/>
      <c r="M6" s="6" t="n"/>
      <c r="N6" s="6" t="n"/>
      <c r="O6" s="6" t="n"/>
      <c r="P6" s="45" t="n"/>
      <c r="Q6" s="45" t="n"/>
      <c r="R6" s="45" t="n"/>
      <c r="S6" s="45" t="n"/>
      <c r="T6" s="45" t="n"/>
      <c r="U6" s="22" t="n"/>
      <c r="V6" s="22" t="n"/>
      <c r="W6" s="22" t="n"/>
      <c r="X6" s="22" t="n"/>
      <c r="Y6" s="22" t="n"/>
      <c r="Z6" s="20" t="n"/>
      <c r="AA6" s="20" t="n"/>
      <c r="AB6" s="20" t="n"/>
      <c r="AC6" s="20" t="n"/>
      <c r="AD6" s="46" t="n"/>
      <c r="AE6" s="46" t="n"/>
      <c r="AF6" s="46" t="n"/>
      <c r="AG6" s="46" t="n"/>
      <c r="AH6" s="46" t="n"/>
      <c r="AI6" s="14" t="n"/>
    </row>
    <row r="7">
      <c r="A7" s="3" t="n"/>
      <c r="B7" s="2" t="n"/>
      <c r="C7" s="2" t="n"/>
      <c r="D7" s="2" t="n"/>
      <c r="E7" s="2" t="n"/>
      <c r="F7" s="2" t="n"/>
      <c r="G7" s="3" t="n"/>
      <c r="H7" s="3" t="n"/>
      <c r="I7" s="34" t="n"/>
      <c r="J7" s="50" t="n"/>
      <c r="K7" s="6" t="n"/>
      <c r="L7" s="6" t="n"/>
      <c r="M7" s="6" t="n"/>
      <c r="N7" s="6" t="n"/>
      <c r="O7" s="6" t="n"/>
      <c r="P7" s="45" t="n"/>
      <c r="Q7" s="45" t="n"/>
      <c r="R7" s="45" t="n"/>
      <c r="S7" s="45" t="n"/>
      <c r="T7" s="45" t="n"/>
      <c r="U7" s="22" t="n"/>
      <c r="V7" s="22" t="n"/>
      <c r="W7" s="22" t="n"/>
      <c r="X7" s="22" t="n"/>
      <c r="Y7" s="22" t="n"/>
      <c r="Z7" s="20" t="n"/>
      <c r="AA7" s="20" t="n"/>
      <c r="AB7" s="20" t="n"/>
      <c r="AC7" s="20" t="n"/>
      <c r="AD7" s="46" t="n"/>
      <c r="AE7" s="46" t="n"/>
      <c r="AF7" s="46" t="n"/>
      <c r="AG7" s="46" t="n"/>
      <c r="AH7" s="46" t="n"/>
      <c r="AI7" s="14" t="n"/>
    </row>
    <row r="8">
      <c r="A8" s="3" t="n"/>
      <c r="B8" s="2" t="n"/>
      <c r="C8" s="2" t="n"/>
      <c r="D8" s="2" t="n"/>
      <c r="E8" s="2" t="n"/>
      <c r="F8" s="2" t="n"/>
      <c r="G8" s="3" t="n"/>
      <c r="H8" s="3" t="n"/>
      <c r="I8" s="34" t="n"/>
      <c r="J8" s="50" t="n"/>
      <c r="K8" s="6" t="n"/>
      <c r="L8" s="6" t="n"/>
      <c r="M8" s="6" t="n"/>
      <c r="N8" s="6" t="n"/>
      <c r="O8" s="6" t="n"/>
      <c r="P8" s="45" t="n"/>
      <c r="Q8" s="45" t="n"/>
      <c r="R8" s="45" t="n"/>
      <c r="S8" s="45" t="n"/>
      <c r="T8" s="45" t="n"/>
      <c r="U8" s="22" t="n"/>
      <c r="V8" s="22" t="n"/>
      <c r="W8" s="22" t="n"/>
      <c r="X8" s="22" t="n"/>
      <c r="Y8" s="22" t="n"/>
      <c r="Z8" s="20" t="n"/>
      <c r="AA8" s="20" t="n"/>
      <c r="AB8" s="20" t="n"/>
      <c r="AC8" s="20" t="n"/>
      <c r="AD8" s="46" t="n"/>
      <c r="AE8" s="46" t="n"/>
      <c r="AF8" s="46" t="n"/>
      <c r="AG8" s="46" t="n"/>
      <c r="AH8" s="46" t="n"/>
      <c r="AI8" s="14" t="n"/>
    </row>
    <row r="9">
      <c r="A9" s="3" t="n"/>
      <c r="B9" s="2" t="n"/>
      <c r="C9" s="2" t="n"/>
      <c r="D9" s="2" t="n"/>
      <c r="E9" s="2" t="n"/>
      <c r="F9" s="2" t="n"/>
      <c r="G9" s="3" t="n"/>
      <c r="H9" s="3" t="n"/>
      <c r="I9" s="34" t="n"/>
      <c r="J9" s="50" t="n"/>
      <c r="K9" s="6" t="n"/>
      <c r="L9" s="6" t="n"/>
      <c r="M9" s="6" t="n"/>
      <c r="N9" s="6" t="n"/>
      <c r="O9" s="6" t="n"/>
      <c r="P9" s="45" t="n"/>
      <c r="Q9" s="45" t="n"/>
      <c r="R9" s="45" t="n"/>
      <c r="S9" s="45" t="n"/>
      <c r="T9" s="45" t="n"/>
      <c r="U9" s="22" t="n"/>
      <c r="V9" s="22" t="n"/>
      <c r="W9" s="22" t="n"/>
      <c r="X9" s="22" t="n"/>
      <c r="Y9" s="22" t="n"/>
      <c r="Z9" s="20" t="n"/>
      <c r="AA9" s="20" t="n"/>
      <c r="AB9" s="20" t="n"/>
      <c r="AC9" s="20" t="n"/>
      <c r="AD9" s="46" t="n"/>
      <c r="AE9" s="46" t="n"/>
      <c r="AF9" s="46" t="n"/>
      <c r="AG9" s="46" t="n"/>
      <c r="AH9" s="46" t="n"/>
      <c r="AI9" s="14" t="n"/>
    </row>
    <row r="10">
      <c r="A10" s="3" t="n"/>
      <c r="B10" s="2" t="n"/>
      <c r="C10" s="2" t="n"/>
      <c r="D10" s="2" t="n"/>
      <c r="E10" s="2" t="n"/>
      <c r="F10" s="2" t="n"/>
      <c r="G10" s="3" t="n"/>
      <c r="H10" s="3" t="n"/>
      <c r="I10" s="34" t="n"/>
      <c r="J10" s="50" t="n"/>
      <c r="K10" s="6" t="n"/>
      <c r="L10" s="6" t="n"/>
      <c r="M10" s="6" t="n"/>
      <c r="N10" s="6" t="n"/>
      <c r="O10" s="6" t="n"/>
      <c r="P10" s="45" t="n"/>
      <c r="Q10" s="45" t="n"/>
      <c r="R10" s="45" t="n"/>
      <c r="S10" s="45" t="n"/>
      <c r="T10" s="45" t="n"/>
      <c r="U10" s="22" t="n"/>
      <c r="V10" s="22" t="n"/>
      <c r="W10" s="22" t="n"/>
      <c r="X10" s="22" t="n"/>
      <c r="Y10" s="22" t="n"/>
      <c r="Z10" s="20" t="n"/>
      <c r="AA10" s="20" t="n"/>
      <c r="AB10" s="20" t="n"/>
      <c r="AC10" s="20" t="n"/>
      <c r="AD10" s="46" t="n"/>
      <c r="AE10" s="46" t="n"/>
      <c r="AF10" s="46" t="n"/>
      <c r="AG10" s="46" t="n"/>
      <c r="AH10" s="46" t="n"/>
      <c r="AI10" s="14" t="n"/>
    </row>
    <row r="11">
      <c r="A11" s="3" t="n"/>
      <c r="B11" s="2" t="n"/>
      <c r="C11" s="2" t="n"/>
      <c r="D11" s="2" t="n"/>
      <c r="E11" s="2" t="n"/>
      <c r="F11" s="2" t="n"/>
      <c r="G11" s="3" t="n"/>
      <c r="H11" s="3" t="n"/>
      <c r="I11" s="34" t="n"/>
      <c r="J11" s="50" t="n"/>
      <c r="K11" s="6" t="n"/>
      <c r="L11" s="6" t="n"/>
      <c r="M11" s="6" t="n"/>
      <c r="N11" s="6" t="n"/>
      <c r="O11" s="6" t="n"/>
      <c r="P11" s="45" t="n"/>
      <c r="Q11" s="45" t="n"/>
      <c r="R11" s="45" t="n"/>
      <c r="S11" s="45" t="n"/>
      <c r="T11" s="45" t="n"/>
      <c r="U11" s="22" t="n"/>
      <c r="V11" s="22" t="n"/>
      <c r="W11" s="22" t="n"/>
      <c r="X11" s="22" t="n"/>
      <c r="Y11" s="22" t="n"/>
      <c r="Z11" s="20" t="n"/>
      <c r="AA11" s="20" t="n"/>
      <c r="AB11" s="20" t="n"/>
      <c r="AC11" s="20" t="n"/>
      <c r="AD11" s="46" t="n"/>
      <c r="AE11" s="46" t="n"/>
      <c r="AF11" s="46" t="n"/>
      <c r="AG11" s="46" t="n"/>
      <c r="AH11" s="46" t="n"/>
      <c r="AI11" s="14" t="n"/>
    </row>
    <row r="12">
      <c r="A12" s="3" t="n"/>
      <c r="B12" s="2" t="n"/>
      <c r="C12" s="2" t="n"/>
      <c r="D12" s="2" t="n"/>
      <c r="E12" s="2" t="n"/>
      <c r="F12" s="2" t="n"/>
      <c r="G12" s="3" t="n"/>
      <c r="H12" s="3" t="n"/>
      <c r="I12" s="34" t="n"/>
      <c r="J12" s="50" t="n"/>
      <c r="K12" s="6" t="n"/>
      <c r="L12" s="6" t="n"/>
      <c r="M12" s="6" t="n"/>
      <c r="N12" s="6" t="n"/>
      <c r="O12" s="6" t="n"/>
      <c r="P12" s="45" t="n"/>
      <c r="Q12" s="45" t="n"/>
      <c r="R12" s="45" t="n"/>
      <c r="S12" s="45" t="n"/>
      <c r="T12" s="45" t="n"/>
      <c r="U12" s="22" t="n"/>
      <c r="V12" s="22" t="n"/>
      <c r="W12" s="22" t="n"/>
      <c r="X12" s="22" t="n"/>
      <c r="Y12" s="22" t="n"/>
      <c r="Z12" s="20" t="n"/>
      <c r="AA12" s="20" t="n"/>
      <c r="AB12" s="20" t="n"/>
      <c r="AC12" s="20" t="n"/>
      <c r="AD12" s="46" t="n"/>
      <c r="AE12" s="46" t="n"/>
      <c r="AF12" s="46" t="n"/>
      <c r="AG12" s="46" t="n"/>
      <c r="AH12" s="46" t="n"/>
      <c r="AI12" s="14" t="n"/>
    </row>
    <row r="13">
      <c r="A13" s="3" t="n"/>
      <c r="B13" s="2" t="n"/>
      <c r="C13" s="2" t="n"/>
      <c r="D13" s="2" t="n"/>
      <c r="E13" s="2" t="n"/>
      <c r="F13" s="2" t="n"/>
      <c r="G13" s="3" t="n"/>
      <c r="H13" s="3" t="n"/>
      <c r="I13" s="34" t="n"/>
      <c r="J13" s="50" t="n"/>
      <c r="K13" s="6" t="n"/>
      <c r="L13" s="6" t="n"/>
      <c r="M13" s="6" t="n"/>
      <c r="N13" s="6" t="n"/>
      <c r="O13" s="6" t="n"/>
      <c r="P13" s="45" t="n"/>
      <c r="Q13" s="45" t="n"/>
      <c r="R13" s="45" t="n"/>
      <c r="S13" s="45" t="n"/>
      <c r="T13" s="45" t="n"/>
      <c r="U13" s="22" t="n"/>
      <c r="V13" s="22" t="n"/>
      <c r="W13" s="22" t="n"/>
      <c r="X13" s="22" t="n"/>
      <c r="Y13" s="22" t="n"/>
      <c r="Z13" s="20" t="n"/>
      <c r="AA13" s="20" t="n"/>
      <c r="AB13" s="20" t="n"/>
      <c r="AC13" s="20" t="n"/>
      <c r="AD13" s="46" t="n"/>
      <c r="AE13" s="46" t="n"/>
      <c r="AF13" s="46" t="n"/>
      <c r="AG13" s="46" t="n"/>
      <c r="AH13" s="46" t="n"/>
      <c r="AI13" s="14" t="n"/>
    </row>
    <row r="14">
      <c r="A14" s="3" t="n"/>
      <c r="B14" s="2" t="n"/>
      <c r="C14" s="2" t="n"/>
      <c r="D14" s="2" t="n"/>
      <c r="E14" s="2" t="n"/>
      <c r="F14" s="2" t="n"/>
      <c r="G14" s="3" t="n"/>
      <c r="H14" s="3" t="n"/>
      <c r="I14" s="34" t="n"/>
      <c r="J14" s="50" t="n"/>
      <c r="K14" s="6" t="n"/>
      <c r="L14" s="6" t="n"/>
      <c r="M14" s="6" t="n"/>
      <c r="N14" s="6" t="n"/>
      <c r="O14" s="6" t="n"/>
      <c r="P14" s="45" t="n"/>
      <c r="Q14" s="45" t="n"/>
      <c r="R14" s="45" t="n"/>
      <c r="S14" s="45" t="n"/>
      <c r="T14" s="45" t="n"/>
      <c r="U14" s="22" t="n"/>
      <c r="V14" s="22" t="n"/>
      <c r="W14" s="22" t="n"/>
      <c r="X14" s="22" t="n"/>
      <c r="Y14" s="22" t="n"/>
      <c r="Z14" s="20" t="n"/>
      <c r="AA14" s="20" t="n"/>
      <c r="AB14" s="20" t="n"/>
      <c r="AC14" s="20" t="n"/>
      <c r="AD14" s="46" t="n"/>
      <c r="AE14" s="46" t="n"/>
      <c r="AF14" s="46" t="n"/>
      <c r="AG14" s="46" t="n"/>
      <c r="AH14" s="46" t="n"/>
      <c r="AI14" s="14" t="n"/>
    </row>
    <row r="15">
      <c r="A15" s="3" t="n"/>
      <c r="B15" s="2" t="n"/>
      <c r="C15" s="2" t="n"/>
      <c r="D15" s="2" t="n"/>
      <c r="E15" s="2" t="n"/>
      <c r="F15" s="2" t="n"/>
      <c r="G15" s="3" t="n"/>
      <c r="H15" s="3" t="n"/>
      <c r="I15" s="34" t="n"/>
      <c r="J15" s="50" t="n"/>
      <c r="K15" s="6" t="n"/>
      <c r="L15" s="6" t="n"/>
      <c r="M15" s="6" t="n"/>
      <c r="N15" s="6" t="n"/>
      <c r="O15" s="6" t="n"/>
      <c r="P15" s="45" t="n"/>
      <c r="Q15" s="45" t="n"/>
      <c r="R15" s="45" t="n"/>
      <c r="S15" s="45" t="n"/>
      <c r="T15" s="45" t="n"/>
      <c r="U15" s="22" t="n"/>
      <c r="V15" s="22" t="n"/>
      <c r="W15" s="22" t="n"/>
      <c r="X15" s="22" t="n"/>
      <c r="Y15" s="22" t="n"/>
      <c r="Z15" s="20" t="n"/>
      <c r="AA15" s="20" t="n"/>
      <c r="AB15" s="20" t="n"/>
      <c r="AC15" s="20" t="n"/>
      <c r="AD15" s="46" t="n"/>
      <c r="AE15" s="46" t="n"/>
      <c r="AF15" s="46" t="n"/>
      <c r="AG15" s="46" t="n"/>
      <c r="AH15" s="46" t="n"/>
      <c r="AI15" s="14" t="n"/>
    </row>
    <row r="16">
      <c r="A16" s="3" t="n"/>
      <c r="B16" s="2" t="n"/>
      <c r="C16" s="2" t="n"/>
      <c r="D16" s="2" t="n"/>
      <c r="E16" s="2" t="n"/>
      <c r="F16" s="2" t="n"/>
      <c r="G16" s="3" t="n"/>
      <c r="H16" s="3" t="n"/>
      <c r="I16" s="34" t="n"/>
      <c r="J16" s="50" t="n"/>
      <c r="K16" s="6" t="n"/>
      <c r="L16" s="6" t="n"/>
      <c r="M16" s="6" t="n"/>
      <c r="N16" s="6" t="n"/>
      <c r="O16" s="6" t="n"/>
      <c r="P16" s="45" t="n"/>
      <c r="Q16" s="45" t="n"/>
      <c r="R16" s="45" t="n"/>
      <c r="S16" s="45" t="n"/>
      <c r="T16" s="45" t="n"/>
      <c r="U16" s="22" t="n"/>
      <c r="V16" s="22" t="n"/>
      <c r="W16" s="22" t="n"/>
      <c r="X16" s="22" t="n"/>
      <c r="Y16" s="22" t="n"/>
      <c r="Z16" s="20" t="n"/>
      <c r="AA16" s="20" t="n"/>
      <c r="AB16" s="20" t="n"/>
      <c r="AC16" s="20" t="n"/>
      <c r="AD16" s="46" t="n"/>
      <c r="AE16" s="46" t="n"/>
      <c r="AF16" s="46" t="n"/>
      <c r="AG16" s="46" t="n"/>
      <c r="AH16" s="46" t="n"/>
      <c r="AI16" s="14" t="n"/>
    </row>
    <row r="17">
      <c r="A17" s="3" t="n"/>
      <c r="B17" s="2" t="n"/>
      <c r="C17" s="2" t="n"/>
      <c r="D17" s="2" t="n"/>
      <c r="E17" s="2" t="n"/>
      <c r="F17" s="2" t="n"/>
      <c r="G17" s="3" t="n"/>
      <c r="H17" s="3" t="n"/>
      <c r="I17" s="34" t="n"/>
      <c r="J17" s="50" t="n"/>
      <c r="K17" s="6" t="n"/>
      <c r="L17" s="6" t="n"/>
      <c r="M17" s="6" t="n"/>
      <c r="N17" s="6" t="n"/>
      <c r="O17" s="6" t="n"/>
      <c r="P17" s="45" t="n"/>
      <c r="Q17" s="45" t="n"/>
      <c r="R17" s="45" t="n"/>
      <c r="S17" s="45" t="n"/>
      <c r="T17" s="45" t="n"/>
      <c r="U17" s="22" t="n"/>
      <c r="V17" s="22" t="n"/>
      <c r="W17" s="22" t="n"/>
      <c r="X17" s="22" t="n"/>
      <c r="Y17" s="22" t="n"/>
      <c r="Z17" s="20" t="n"/>
      <c r="AA17" s="20" t="n"/>
      <c r="AB17" s="20" t="n"/>
      <c r="AC17" s="20" t="n"/>
      <c r="AD17" s="46" t="n"/>
      <c r="AE17" s="46" t="n"/>
      <c r="AF17" s="46" t="n"/>
      <c r="AG17" s="46" t="n"/>
      <c r="AH17" s="46" t="n"/>
      <c r="AI17" s="14" t="n"/>
    </row>
    <row r="18">
      <c r="A18" s="3" t="n"/>
      <c r="B18" s="2" t="n"/>
      <c r="C18" s="2" t="n"/>
      <c r="D18" s="2" t="n"/>
      <c r="E18" s="2" t="n"/>
      <c r="F18" s="2" t="n"/>
      <c r="G18" s="3" t="n"/>
      <c r="H18" s="3" t="n"/>
      <c r="I18" s="34" t="n"/>
      <c r="J18" s="50" t="n"/>
      <c r="K18" s="6" t="n"/>
      <c r="L18" s="6" t="n"/>
      <c r="M18" s="6" t="n"/>
      <c r="N18" s="6" t="n"/>
      <c r="O18" s="6" t="n"/>
      <c r="P18" s="45" t="n"/>
      <c r="Q18" s="45" t="n"/>
      <c r="R18" s="45" t="n"/>
      <c r="S18" s="45" t="n"/>
      <c r="T18" s="45" t="n"/>
      <c r="U18" s="22" t="n"/>
      <c r="V18" s="22" t="n"/>
      <c r="W18" s="22" t="n"/>
      <c r="X18" s="22" t="n"/>
      <c r="Y18" s="22" t="n"/>
      <c r="Z18" s="20" t="n"/>
      <c r="AA18" s="20" t="n"/>
      <c r="AB18" s="20" t="n"/>
      <c r="AC18" s="20" t="n"/>
      <c r="AD18" s="46" t="n"/>
      <c r="AE18" s="46" t="n"/>
      <c r="AF18" s="46" t="n"/>
      <c r="AG18" s="46" t="n"/>
      <c r="AH18" s="46" t="n"/>
      <c r="AI18" s="14" t="n"/>
    </row>
    <row r="19">
      <c r="A19" s="3" t="n"/>
      <c r="B19" s="2" t="n"/>
      <c r="C19" s="2" t="n"/>
      <c r="D19" s="2" t="n"/>
      <c r="E19" s="2" t="n"/>
      <c r="F19" s="2" t="n"/>
      <c r="G19" s="3" t="n"/>
      <c r="H19" s="3" t="n"/>
      <c r="I19" s="34" t="n"/>
      <c r="J19" s="50" t="n"/>
      <c r="K19" s="6" t="n"/>
      <c r="L19" s="6" t="n"/>
      <c r="M19" s="6" t="n"/>
      <c r="N19" s="6" t="n"/>
      <c r="O19" s="6" t="n"/>
      <c r="P19" s="45" t="n"/>
      <c r="Q19" s="45" t="n"/>
      <c r="R19" s="45" t="n"/>
      <c r="S19" s="45" t="n"/>
      <c r="T19" s="45" t="n"/>
      <c r="U19" s="22" t="n"/>
      <c r="V19" s="22" t="n"/>
      <c r="W19" s="22" t="n"/>
      <c r="X19" s="22" t="n"/>
      <c r="Y19" s="22" t="n"/>
      <c r="Z19" s="20" t="n"/>
      <c r="AA19" s="20" t="n"/>
      <c r="AB19" s="20" t="n"/>
      <c r="AC19" s="20" t="n"/>
      <c r="AD19" s="46" t="n"/>
      <c r="AE19" s="46" t="n"/>
      <c r="AF19" s="46" t="n"/>
      <c r="AG19" s="46" t="n"/>
      <c r="AH19" s="46" t="n"/>
      <c r="AI19" s="14" t="n"/>
    </row>
    <row r="20">
      <c r="A20" s="3" t="n"/>
      <c r="B20" s="2" t="n"/>
      <c r="C20" s="2" t="n"/>
      <c r="D20" s="2" t="n"/>
      <c r="E20" s="2" t="n"/>
      <c r="F20" s="2" t="n"/>
      <c r="G20" s="3" t="n"/>
      <c r="H20" s="3" t="n"/>
      <c r="I20" s="34" t="n"/>
      <c r="J20" s="50" t="n"/>
      <c r="K20" s="6" t="n"/>
      <c r="L20" s="6" t="n"/>
      <c r="M20" s="6" t="n"/>
      <c r="N20" s="6" t="n"/>
      <c r="O20" s="6" t="n"/>
      <c r="P20" s="45" t="n"/>
      <c r="Q20" s="45" t="n"/>
      <c r="R20" s="45" t="n"/>
      <c r="S20" s="45" t="n"/>
      <c r="T20" s="45" t="n"/>
      <c r="U20" s="22" t="n"/>
      <c r="V20" s="22" t="n"/>
      <c r="W20" s="22" t="n"/>
      <c r="X20" s="22" t="n"/>
      <c r="Y20" s="22" t="n"/>
      <c r="Z20" s="20" t="n"/>
      <c r="AA20" s="20" t="n"/>
      <c r="AB20" s="20" t="n"/>
      <c r="AC20" s="20" t="n"/>
      <c r="AD20" s="46" t="n"/>
      <c r="AE20" s="46" t="n"/>
      <c r="AF20" s="46" t="n"/>
      <c r="AG20" s="46" t="n"/>
      <c r="AH20" s="46" t="n"/>
      <c r="AI20" s="14" t="n"/>
    </row>
    <row r="21">
      <c r="A21" s="3" t="n"/>
      <c r="B21" s="2" t="n"/>
      <c r="C21" s="2" t="n"/>
      <c r="D21" s="2" t="n"/>
      <c r="E21" s="2" t="n"/>
      <c r="F21" s="2" t="n"/>
      <c r="G21" s="3" t="n"/>
      <c r="H21" s="3" t="n"/>
      <c r="I21" s="34" t="n"/>
      <c r="J21" s="50" t="n"/>
      <c r="K21" s="6" t="n"/>
      <c r="L21" s="6" t="n"/>
      <c r="M21" s="6" t="n"/>
      <c r="N21" s="6" t="n"/>
      <c r="O21" s="6" t="n"/>
      <c r="P21" s="45" t="n"/>
      <c r="Q21" s="45" t="n"/>
      <c r="R21" s="45" t="n"/>
      <c r="S21" s="45" t="n"/>
      <c r="T21" s="45" t="n"/>
      <c r="U21" s="22" t="n"/>
      <c r="V21" s="22" t="n"/>
      <c r="W21" s="22" t="n"/>
      <c r="X21" s="22" t="n"/>
      <c r="Y21" s="22" t="n"/>
      <c r="Z21" s="20" t="n"/>
      <c r="AA21" s="20" t="n"/>
      <c r="AB21" s="20" t="n"/>
      <c r="AC21" s="20" t="n"/>
      <c r="AD21" s="46" t="n"/>
      <c r="AE21" s="46" t="n"/>
      <c r="AF21" s="46" t="n"/>
      <c r="AG21" s="46" t="n"/>
      <c r="AH21" s="46" t="n"/>
      <c r="AI21" s="14" t="n"/>
    </row>
    <row r="22">
      <c r="A22" s="3" t="n"/>
      <c r="B22" s="2" t="n"/>
      <c r="C22" s="2" t="n"/>
      <c r="D22" s="2" t="n"/>
      <c r="E22" s="2" t="n"/>
      <c r="F22" s="2" t="n"/>
      <c r="G22" s="3" t="n"/>
      <c r="H22" s="3" t="n"/>
      <c r="I22" s="34" t="n"/>
      <c r="J22" s="50" t="n"/>
      <c r="K22" s="6" t="n"/>
      <c r="L22" s="6" t="n"/>
      <c r="M22" s="6" t="n"/>
      <c r="N22" s="6" t="n"/>
      <c r="O22" s="6" t="n"/>
      <c r="P22" s="45" t="n"/>
      <c r="Q22" s="45" t="n"/>
      <c r="R22" s="45" t="n"/>
      <c r="S22" s="45" t="n"/>
      <c r="T22" s="45" t="n"/>
      <c r="U22" s="22" t="n"/>
      <c r="V22" s="22" t="n"/>
      <c r="W22" s="22" t="n"/>
      <c r="X22" s="22" t="n"/>
      <c r="Y22" s="22" t="n"/>
      <c r="Z22" s="20" t="n"/>
      <c r="AA22" s="20" t="n"/>
      <c r="AB22" s="20" t="n"/>
      <c r="AC22" s="20" t="n"/>
      <c r="AD22" s="46" t="n"/>
      <c r="AE22" s="46" t="n"/>
      <c r="AF22" s="46" t="n"/>
      <c r="AG22" s="46" t="n"/>
      <c r="AH22" s="46" t="n"/>
      <c r="AI22" s="14" t="n"/>
    </row>
    <row r="23">
      <c r="A23" s="3" t="n"/>
      <c r="B23" s="2" t="n"/>
      <c r="C23" s="2" t="n"/>
      <c r="D23" s="2" t="n"/>
      <c r="E23" s="2" t="n"/>
      <c r="F23" s="2" t="n"/>
      <c r="G23" s="3" t="n"/>
      <c r="H23" s="3" t="n"/>
      <c r="I23" s="34" t="n"/>
      <c r="J23" s="50" t="n"/>
      <c r="K23" s="6" t="n"/>
      <c r="L23" s="6" t="n"/>
      <c r="M23" s="6" t="n"/>
      <c r="N23" s="6" t="n"/>
      <c r="O23" s="6" t="n"/>
      <c r="P23" s="45" t="n"/>
      <c r="Q23" s="45" t="n"/>
      <c r="R23" s="45" t="n"/>
      <c r="S23" s="45" t="n"/>
      <c r="T23" s="45" t="n"/>
      <c r="U23" s="22" t="n"/>
      <c r="V23" s="22" t="n"/>
      <c r="W23" s="22" t="n"/>
      <c r="X23" s="22" t="n"/>
      <c r="Y23" s="22" t="n"/>
      <c r="Z23" s="20" t="n"/>
      <c r="AA23" s="20" t="n"/>
      <c r="AB23" s="20" t="n"/>
      <c r="AC23" s="20" t="n"/>
      <c r="AD23" s="46" t="n"/>
      <c r="AE23" s="46" t="n"/>
      <c r="AF23" s="46" t="n"/>
      <c r="AG23" s="46" t="n"/>
      <c r="AH23" s="46" t="n"/>
      <c r="AI23" s="14" t="n"/>
    </row>
    <row r="24">
      <c r="A24" s="3" t="n"/>
      <c r="B24" s="2" t="n"/>
      <c r="C24" s="2" t="n"/>
      <c r="D24" s="2" t="n"/>
      <c r="E24" s="2" t="n"/>
      <c r="F24" s="2" t="n"/>
      <c r="G24" s="3" t="n"/>
      <c r="H24" s="3" t="n"/>
      <c r="I24" s="34" t="n"/>
      <c r="J24" s="50" t="n"/>
      <c r="K24" s="6" t="n"/>
      <c r="L24" s="6" t="n"/>
      <c r="M24" s="6" t="n"/>
      <c r="N24" s="6" t="n"/>
      <c r="O24" s="6" t="n"/>
      <c r="P24" s="45" t="n"/>
      <c r="Q24" s="45" t="n"/>
      <c r="R24" s="45" t="n"/>
      <c r="S24" s="45" t="n"/>
      <c r="T24" s="45" t="n"/>
      <c r="U24" s="22" t="n"/>
      <c r="V24" s="22" t="n"/>
      <c r="W24" s="22" t="n"/>
      <c r="X24" s="22" t="n"/>
      <c r="Y24" s="22" t="n"/>
      <c r="Z24" s="20" t="n"/>
      <c r="AA24" s="20" t="n"/>
      <c r="AB24" s="20" t="n"/>
      <c r="AC24" s="20" t="n"/>
      <c r="AD24" s="46" t="n"/>
      <c r="AE24" s="46" t="n"/>
      <c r="AF24" s="46" t="n"/>
      <c r="AG24" s="46" t="n"/>
      <c r="AH24" s="46" t="n"/>
      <c r="AI24" s="14" t="n"/>
    </row>
    <row r="25">
      <c r="A25" s="3" t="n"/>
      <c r="B25" s="2" t="n"/>
      <c r="C25" s="2" t="n"/>
      <c r="D25" s="2" t="n"/>
      <c r="E25" s="2" t="n"/>
      <c r="F25" s="2" t="n"/>
      <c r="G25" s="3" t="n"/>
      <c r="H25" s="3" t="n"/>
      <c r="I25" s="34" t="n"/>
      <c r="J25" s="50" t="n"/>
      <c r="K25" s="6" t="n"/>
      <c r="L25" s="6" t="n"/>
      <c r="M25" s="6" t="n"/>
      <c r="N25" s="6" t="n"/>
      <c r="O25" s="6" t="n"/>
      <c r="P25" s="45" t="n"/>
      <c r="Q25" s="45" t="n"/>
      <c r="R25" s="45" t="n"/>
      <c r="S25" s="45" t="n"/>
      <c r="T25" s="45" t="n"/>
      <c r="U25" s="22" t="n"/>
      <c r="V25" s="22" t="n"/>
      <c r="W25" s="22" t="n"/>
      <c r="X25" s="22" t="n"/>
      <c r="Y25" s="22" t="n"/>
      <c r="Z25" s="20" t="n"/>
      <c r="AA25" s="20" t="n"/>
      <c r="AB25" s="20" t="n"/>
      <c r="AC25" s="20" t="n"/>
      <c r="AD25" s="46" t="n"/>
      <c r="AE25" s="46" t="n"/>
      <c r="AF25" s="46" t="n"/>
      <c r="AG25" s="46" t="n"/>
      <c r="AH25" s="46" t="n"/>
      <c r="AI25" s="14" t="n"/>
    </row>
    <row r="26">
      <c r="A26" s="3" t="n"/>
      <c r="B26" s="2" t="n"/>
      <c r="C26" s="2" t="n"/>
      <c r="D26" s="2" t="n"/>
      <c r="E26" s="2" t="n"/>
      <c r="F26" s="2" t="n"/>
      <c r="G26" s="3" t="n"/>
      <c r="H26" s="3" t="n"/>
      <c r="I26" s="34" t="n"/>
      <c r="J26" s="50" t="n"/>
      <c r="K26" s="6" t="n"/>
      <c r="L26" s="6" t="n"/>
      <c r="M26" s="6" t="n"/>
      <c r="N26" s="6" t="n"/>
      <c r="O26" s="6" t="n"/>
      <c r="P26" s="45" t="n"/>
      <c r="Q26" s="45" t="n"/>
      <c r="R26" s="45" t="n"/>
      <c r="S26" s="45" t="n"/>
      <c r="T26" s="45" t="n"/>
      <c r="U26" s="22" t="n"/>
      <c r="V26" s="22" t="n"/>
      <c r="W26" s="22" t="n"/>
      <c r="X26" s="22" t="n"/>
      <c r="Y26" s="22" t="n"/>
      <c r="Z26" s="20" t="n"/>
      <c r="AA26" s="20" t="n"/>
      <c r="AB26" s="20" t="n"/>
      <c r="AC26" s="20" t="n"/>
      <c r="AD26" s="46" t="n"/>
      <c r="AE26" s="46" t="n"/>
      <c r="AF26" s="46" t="n"/>
      <c r="AG26" s="46" t="n"/>
      <c r="AH26" s="46" t="n"/>
      <c r="AI26" s="14" t="n"/>
    </row>
    <row r="27">
      <c r="A27" s="3" t="n"/>
      <c r="B27" s="2" t="n"/>
      <c r="C27" s="2" t="n"/>
      <c r="D27" s="2" t="n"/>
      <c r="E27" s="2" t="n"/>
      <c r="F27" s="2" t="n"/>
      <c r="G27" s="3" t="n"/>
      <c r="H27" s="3" t="n"/>
      <c r="I27" s="34" t="n"/>
      <c r="J27" s="50" t="n"/>
      <c r="K27" s="6" t="n"/>
      <c r="L27" s="6" t="n"/>
      <c r="M27" s="6" t="n"/>
      <c r="N27" s="6" t="n"/>
      <c r="O27" s="6" t="n"/>
      <c r="P27" s="45" t="n"/>
      <c r="Q27" s="45" t="n"/>
      <c r="R27" s="45" t="n"/>
      <c r="S27" s="45" t="n"/>
      <c r="T27" s="45" t="n"/>
      <c r="U27" s="22" t="n"/>
      <c r="V27" s="22" t="n"/>
      <c r="W27" s="22" t="n"/>
      <c r="X27" s="22" t="n"/>
      <c r="Y27" s="22" t="n"/>
      <c r="Z27" s="20" t="n"/>
      <c r="AA27" s="20" t="n"/>
      <c r="AB27" s="20" t="n"/>
      <c r="AC27" s="20" t="n"/>
      <c r="AD27" s="46" t="n"/>
      <c r="AE27" s="46" t="n"/>
      <c r="AF27" s="46" t="n"/>
      <c r="AG27" s="46" t="n"/>
      <c r="AH27" s="46" t="n"/>
      <c r="AI27" s="14" t="n"/>
    </row>
    <row r="28">
      <c r="A28" s="3" t="n"/>
      <c r="B28" s="2" t="n"/>
      <c r="C28" s="2" t="n"/>
      <c r="D28" s="2" t="n"/>
      <c r="E28" s="2" t="n"/>
      <c r="F28" s="2" t="n"/>
      <c r="G28" s="3" t="n"/>
      <c r="H28" s="3" t="n"/>
      <c r="I28" s="34" t="n"/>
      <c r="J28" s="50" t="n"/>
      <c r="K28" s="6" t="n"/>
      <c r="L28" s="6" t="n"/>
      <c r="M28" s="6" t="n"/>
      <c r="N28" s="6" t="n"/>
      <c r="O28" s="6" t="n"/>
      <c r="P28" s="45" t="n"/>
      <c r="Q28" s="45" t="n"/>
      <c r="R28" s="45" t="n"/>
      <c r="S28" s="45" t="n"/>
      <c r="T28" s="45" t="n"/>
      <c r="U28" s="22" t="n"/>
      <c r="V28" s="22" t="n"/>
      <c r="W28" s="22" t="n"/>
      <c r="X28" s="22" t="n"/>
      <c r="Y28" s="22" t="n"/>
      <c r="Z28" s="20" t="n"/>
      <c r="AA28" s="20" t="n"/>
      <c r="AB28" s="20" t="n"/>
      <c r="AC28" s="20" t="n"/>
      <c r="AD28" s="46" t="n"/>
      <c r="AE28" s="46" t="n"/>
      <c r="AF28" s="46" t="n"/>
      <c r="AG28" s="46" t="n"/>
      <c r="AH28" s="46" t="n"/>
      <c r="AI28" s="14" t="n"/>
    </row>
    <row r="29">
      <c r="A29" s="3" t="n"/>
      <c r="B29" s="2" t="n"/>
      <c r="C29" s="2" t="n"/>
      <c r="D29" s="2" t="n"/>
      <c r="E29" s="2" t="n"/>
      <c r="F29" s="2" t="n"/>
      <c r="G29" s="3" t="n"/>
      <c r="H29" s="3" t="n"/>
      <c r="I29" s="34" t="n"/>
      <c r="J29" s="50" t="n"/>
      <c r="K29" s="6" t="n"/>
      <c r="L29" s="6" t="n"/>
      <c r="M29" s="6" t="n"/>
      <c r="N29" s="6" t="n"/>
      <c r="O29" s="6" t="n"/>
      <c r="P29" s="45" t="n"/>
      <c r="Q29" s="45" t="n"/>
      <c r="R29" s="45" t="n"/>
      <c r="S29" s="45" t="n"/>
      <c r="T29" s="45" t="n"/>
      <c r="U29" s="22" t="n"/>
      <c r="V29" s="22" t="n"/>
      <c r="W29" s="22" t="n"/>
      <c r="X29" s="22" t="n"/>
      <c r="Y29" s="22" t="n"/>
      <c r="Z29" s="20" t="n"/>
      <c r="AA29" s="20" t="n"/>
      <c r="AB29" s="20" t="n"/>
      <c r="AC29" s="20" t="n"/>
      <c r="AD29" s="46" t="n"/>
      <c r="AE29" s="46" t="n"/>
      <c r="AF29" s="46" t="n"/>
      <c r="AG29" s="46" t="n"/>
      <c r="AH29" s="46" t="n"/>
      <c r="AI29" s="14" t="n"/>
    </row>
    <row r="30">
      <c r="A30" s="3" t="n"/>
      <c r="B30" s="2" t="n"/>
      <c r="C30" s="2" t="n"/>
      <c r="D30" s="2" t="n"/>
      <c r="E30" s="2" t="n"/>
      <c r="F30" s="2" t="n"/>
      <c r="G30" s="3" t="n"/>
      <c r="H30" s="3" t="n"/>
      <c r="I30" s="34" t="n"/>
      <c r="J30" s="50" t="n"/>
      <c r="K30" s="6" t="n"/>
      <c r="L30" s="6" t="n"/>
      <c r="M30" s="6" t="n"/>
      <c r="N30" s="6" t="n"/>
      <c r="O30" s="6" t="n"/>
      <c r="P30" s="45" t="n"/>
      <c r="Q30" s="45" t="n"/>
      <c r="R30" s="45" t="n"/>
      <c r="S30" s="45" t="n"/>
      <c r="T30" s="45" t="n"/>
      <c r="U30" s="22" t="n"/>
      <c r="V30" s="22" t="n"/>
      <c r="W30" s="22" t="n"/>
      <c r="X30" s="22" t="n"/>
      <c r="Y30" s="22" t="n"/>
      <c r="Z30" s="20" t="n"/>
      <c r="AA30" s="20" t="n"/>
      <c r="AB30" s="20" t="n"/>
      <c r="AC30" s="20" t="n"/>
      <c r="AD30" s="46" t="n"/>
      <c r="AE30" s="46" t="n"/>
      <c r="AF30" s="46" t="n"/>
      <c r="AG30" s="46" t="n"/>
      <c r="AH30" s="46" t="n"/>
      <c r="AI30" s="14" t="n"/>
    </row>
    <row r="31">
      <c r="A31" s="3" t="n"/>
      <c r="B31" s="2" t="n"/>
      <c r="C31" s="2" t="n"/>
      <c r="D31" s="2" t="n"/>
      <c r="E31" s="2" t="n"/>
      <c r="F31" s="2" t="n"/>
      <c r="G31" s="3" t="n"/>
      <c r="H31" s="3" t="n"/>
      <c r="I31" s="34" t="n"/>
      <c r="J31" s="50" t="n"/>
      <c r="K31" s="6" t="n"/>
      <c r="L31" s="6" t="n"/>
      <c r="M31" s="6" t="n"/>
      <c r="N31" s="6" t="n"/>
      <c r="O31" s="6" t="n"/>
      <c r="P31" s="45" t="n"/>
      <c r="Q31" s="45" t="n"/>
      <c r="R31" s="45" t="n"/>
      <c r="S31" s="45" t="n"/>
      <c r="T31" s="45" t="n"/>
      <c r="U31" s="22" t="n"/>
      <c r="V31" s="22" t="n"/>
      <c r="W31" s="22" t="n"/>
      <c r="X31" s="22" t="n"/>
      <c r="Y31" s="22" t="n"/>
      <c r="Z31" s="20" t="n"/>
      <c r="AA31" s="20" t="n"/>
      <c r="AB31" s="20" t="n"/>
      <c r="AC31" s="20" t="n"/>
      <c r="AD31" s="46" t="n"/>
      <c r="AE31" s="46" t="n"/>
      <c r="AF31" s="46" t="n"/>
      <c r="AG31" s="46" t="n"/>
      <c r="AH31" s="46" t="n"/>
      <c r="AI31" s="14" t="n"/>
    </row>
    <row r="32">
      <c r="A32" s="3" t="n"/>
      <c r="B32" s="2" t="n"/>
      <c r="C32" s="2" t="n"/>
      <c r="D32" s="2" t="n"/>
      <c r="E32" s="2" t="n"/>
      <c r="F32" s="2" t="n"/>
      <c r="G32" s="3" t="n"/>
      <c r="H32" s="3" t="n"/>
      <c r="I32" s="34" t="n"/>
      <c r="J32" s="50" t="n"/>
      <c r="K32" s="6" t="n"/>
      <c r="L32" s="6" t="n"/>
      <c r="M32" s="6" t="n"/>
      <c r="N32" s="6" t="n"/>
      <c r="O32" s="6" t="n"/>
      <c r="P32" s="45" t="n"/>
      <c r="Q32" s="45" t="n"/>
      <c r="R32" s="45" t="n"/>
      <c r="S32" s="45" t="n"/>
      <c r="T32" s="45" t="n"/>
      <c r="U32" s="22" t="n"/>
      <c r="V32" s="22" t="n"/>
      <c r="W32" s="22" t="n"/>
      <c r="X32" s="22" t="n"/>
      <c r="Y32" s="22" t="n"/>
      <c r="Z32" s="20" t="n"/>
      <c r="AA32" s="20" t="n"/>
      <c r="AB32" s="20" t="n"/>
      <c r="AC32" s="20" t="n"/>
      <c r="AD32" s="46" t="n"/>
      <c r="AE32" s="46" t="n"/>
      <c r="AF32" s="46" t="n"/>
      <c r="AG32" s="46" t="n"/>
      <c r="AH32" s="46" t="n"/>
      <c r="AI32" s="14" t="n"/>
    </row>
    <row r="33">
      <c r="A33" s="3" t="n"/>
      <c r="B33" s="2" t="n"/>
      <c r="C33" s="2" t="n"/>
      <c r="D33" s="2" t="n"/>
      <c r="E33" s="2" t="n"/>
      <c r="F33" s="2" t="n"/>
      <c r="G33" s="3" t="n"/>
      <c r="H33" s="3" t="n"/>
      <c r="I33" s="34" t="n"/>
      <c r="J33" s="50" t="n"/>
      <c r="K33" s="6" t="n"/>
      <c r="L33" s="6" t="n"/>
      <c r="M33" s="6" t="n"/>
      <c r="N33" s="6" t="n"/>
      <c r="O33" s="6" t="n"/>
      <c r="P33" s="45" t="n"/>
      <c r="Q33" s="45" t="n"/>
      <c r="R33" s="45" t="n"/>
      <c r="S33" s="45" t="n"/>
      <c r="T33" s="45" t="n"/>
      <c r="U33" s="22" t="n"/>
      <c r="V33" s="22" t="n"/>
      <c r="W33" s="22" t="n"/>
      <c r="X33" s="22" t="n"/>
      <c r="Y33" s="22" t="n"/>
      <c r="Z33" s="20" t="n"/>
      <c r="AA33" s="20" t="n"/>
      <c r="AB33" s="20" t="n"/>
      <c r="AC33" s="20" t="n"/>
      <c r="AD33" s="46" t="n"/>
      <c r="AE33" s="46" t="n"/>
      <c r="AF33" s="46" t="n"/>
      <c r="AG33" s="46" t="n"/>
      <c r="AH33" s="46" t="n"/>
      <c r="AI33" s="14" t="n"/>
    </row>
    <row r="34">
      <c r="A34" s="3" t="n"/>
      <c r="B34" s="2" t="n"/>
      <c r="C34" s="2" t="n"/>
      <c r="D34" s="2" t="n"/>
      <c r="E34" s="2" t="n"/>
      <c r="F34" s="2" t="n"/>
      <c r="G34" s="3" t="n"/>
      <c r="H34" s="3" t="n"/>
      <c r="I34" s="34" t="n"/>
      <c r="J34" s="50" t="n"/>
      <c r="K34" s="6" t="n"/>
      <c r="L34" s="6" t="n"/>
      <c r="M34" s="6" t="n"/>
      <c r="N34" s="6" t="n"/>
      <c r="O34" s="6" t="n"/>
      <c r="P34" s="45" t="n"/>
      <c r="Q34" s="45" t="n"/>
      <c r="R34" s="45" t="n"/>
      <c r="S34" s="45" t="n"/>
      <c r="T34" s="45" t="n"/>
      <c r="U34" s="22" t="n"/>
      <c r="V34" s="22" t="n"/>
      <c r="W34" s="22" t="n"/>
      <c r="X34" s="22" t="n"/>
      <c r="Y34" s="22" t="n"/>
      <c r="Z34" s="20" t="n"/>
      <c r="AA34" s="20" t="n"/>
      <c r="AB34" s="20" t="n"/>
      <c r="AC34" s="20" t="n"/>
      <c r="AD34" s="46" t="n"/>
      <c r="AE34" s="46" t="n"/>
      <c r="AF34" s="46" t="n"/>
      <c r="AG34" s="46" t="n"/>
      <c r="AH34" s="46" t="n"/>
      <c r="AI34" s="14" t="n"/>
    </row>
    <row r="35">
      <c r="A35" s="3" t="n"/>
      <c r="B35" s="2" t="n"/>
      <c r="C35" s="2" t="n"/>
      <c r="D35" s="2" t="n"/>
      <c r="E35" s="2" t="n"/>
      <c r="F35" s="2" t="n"/>
      <c r="G35" s="3" t="n"/>
      <c r="H35" s="3" t="n"/>
      <c r="I35" s="34" t="n"/>
      <c r="J35" s="50" t="n"/>
      <c r="K35" s="6" t="n"/>
      <c r="L35" s="6" t="n"/>
      <c r="M35" s="6" t="n"/>
      <c r="N35" s="6" t="n"/>
      <c r="O35" s="6" t="n"/>
      <c r="P35" s="45" t="n"/>
      <c r="Q35" s="45" t="n"/>
      <c r="R35" s="45" t="n"/>
      <c r="S35" s="45" t="n"/>
      <c r="T35" s="45" t="n"/>
      <c r="U35" s="22" t="n"/>
      <c r="V35" s="22" t="n"/>
      <c r="W35" s="22" t="n"/>
      <c r="X35" s="22" t="n"/>
      <c r="Y35" s="22" t="n"/>
      <c r="Z35" s="20" t="n"/>
      <c r="AA35" s="20" t="n"/>
      <c r="AB35" s="20" t="n"/>
      <c r="AC35" s="20" t="n"/>
      <c r="AD35" s="46" t="n"/>
      <c r="AE35" s="46" t="n"/>
      <c r="AF35" s="46" t="n"/>
      <c r="AG35" s="46" t="n"/>
      <c r="AH35" s="46" t="n"/>
      <c r="AI35" s="14" t="n"/>
    </row>
    <row r="36">
      <c r="A36" s="3" t="n"/>
      <c r="B36" s="2" t="n"/>
      <c r="C36" s="2" t="n"/>
      <c r="D36" s="2" t="n"/>
      <c r="E36" s="2" t="n"/>
      <c r="F36" s="2" t="n"/>
      <c r="G36" s="3" t="n"/>
      <c r="H36" s="3" t="n"/>
      <c r="I36" s="34" t="n"/>
      <c r="J36" s="50" t="n"/>
      <c r="K36" s="6" t="n"/>
      <c r="L36" s="6" t="n"/>
      <c r="M36" s="6" t="n"/>
      <c r="N36" s="6" t="n"/>
      <c r="O36" s="6" t="n"/>
      <c r="P36" s="45" t="n"/>
      <c r="Q36" s="45" t="n"/>
      <c r="R36" s="45" t="n"/>
      <c r="S36" s="45" t="n"/>
      <c r="T36" s="45" t="n"/>
      <c r="U36" s="22" t="n"/>
      <c r="V36" s="22" t="n"/>
      <c r="W36" s="22" t="n"/>
      <c r="X36" s="22" t="n"/>
      <c r="Y36" s="22" t="n"/>
      <c r="Z36" s="20" t="n"/>
      <c r="AA36" s="20" t="n"/>
      <c r="AB36" s="20" t="n"/>
      <c r="AC36" s="20" t="n"/>
      <c r="AD36" s="46" t="n"/>
      <c r="AE36" s="46" t="n"/>
      <c r="AF36" s="46" t="n"/>
      <c r="AG36" s="46" t="n"/>
      <c r="AH36" s="46" t="n"/>
      <c r="AI36" s="14" t="n"/>
    </row>
    <row r="37">
      <c r="A37" s="3" t="n"/>
      <c r="B37" s="2" t="n"/>
      <c r="C37" s="2" t="n"/>
      <c r="D37" s="2" t="n"/>
      <c r="E37" s="2" t="n"/>
      <c r="F37" s="2" t="n"/>
      <c r="G37" s="3" t="n"/>
      <c r="H37" s="3" t="n"/>
      <c r="I37" s="34" t="n"/>
      <c r="J37" s="50" t="n"/>
      <c r="K37" s="6" t="n"/>
      <c r="L37" s="6" t="n"/>
      <c r="M37" s="6" t="n"/>
      <c r="N37" s="6" t="n"/>
      <c r="O37" s="6" t="n"/>
      <c r="P37" s="45" t="n"/>
      <c r="Q37" s="45" t="n"/>
      <c r="R37" s="45" t="n"/>
      <c r="S37" s="45" t="n"/>
      <c r="T37" s="45" t="n"/>
      <c r="U37" s="22" t="n"/>
      <c r="V37" s="22" t="n"/>
      <c r="W37" s="22" t="n"/>
      <c r="X37" s="22" t="n"/>
      <c r="Y37" s="22" t="n"/>
      <c r="Z37" s="20" t="n"/>
      <c r="AA37" s="20" t="n"/>
      <c r="AB37" s="20" t="n"/>
      <c r="AC37" s="20" t="n"/>
      <c r="AD37" s="46" t="n"/>
      <c r="AE37" s="46" t="n"/>
      <c r="AF37" s="46" t="n"/>
      <c r="AG37" s="46" t="n"/>
      <c r="AH37" s="46" t="n"/>
      <c r="AI37" s="14" t="n"/>
    </row>
    <row r="38">
      <c r="A38" s="3" t="n"/>
      <c r="B38" s="2" t="n"/>
      <c r="C38" s="2" t="n"/>
      <c r="D38" s="2" t="n"/>
      <c r="E38" s="2" t="n"/>
      <c r="F38" s="2" t="n"/>
      <c r="G38" s="3" t="n"/>
      <c r="H38" s="3" t="n"/>
      <c r="I38" s="34" t="n"/>
      <c r="J38" s="50" t="n"/>
      <c r="K38" s="6" t="n"/>
      <c r="L38" s="6" t="n"/>
      <c r="M38" s="6" t="n"/>
      <c r="N38" s="6" t="n"/>
      <c r="O38" s="6" t="n"/>
      <c r="P38" s="45" t="n"/>
      <c r="Q38" s="45" t="n"/>
      <c r="R38" s="45" t="n"/>
      <c r="S38" s="45" t="n"/>
      <c r="T38" s="45" t="n"/>
      <c r="U38" s="22" t="n"/>
      <c r="V38" s="22" t="n"/>
      <c r="W38" s="22" t="n"/>
      <c r="X38" s="22" t="n"/>
      <c r="Y38" s="22" t="n"/>
      <c r="Z38" s="20" t="n"/>
      <c r="AA38" s="20" t="n"/>
      <c r="AB38" s="20" t="n"/>
      <c r="AC38" s="20" t="n"/>
      <c r="AD38" s="46" t="n"/>
      <c r="AE38" s="46" t="n"/>
      <c r="AF38" s="46" t="n"/>
      <c r="AG38" s="46" t="n"/>
      <c r="AH38" s="46" t="n"/>
      <c r="AI38" s="14" t="n"/>
    </row>
    <row r="39">
      <c r="A39" s="3" t="n"/>
      <c r="B39" s="2" t="n"/>
      <c r="C39" s="2" t="n"/>
      <c r="D39" s="2" t="n"/>
      <c r="E39" s="2" t="n"/>
      <c r="F39" s="2" t="n"/>
      <c r="G39" s="3" t="n"/>
      <c r="H39" s="3" t="n"/>
      <c r="I39" s="34" t="n"/>
      <c r="J39" s="50" t="n"/>
      <c r="K39" s="6" t="n"/>
      <c r="L39" s="6" t="n"/>
      <c r="M39" s="6" t="n"/>
      <c r="N39" s="6" t="n"/>
      <c r="O39" s="6" t="n"/>
      <c r="P39" s="45" t="n"/>
      <c r="Q39" s="45" t="n"/>
      <c r="R39" s="45" t="n"/>
      <c r="S39" s="45" t="n"/>
      <c r="T39" s="45" t="n"/>
      <c r="U39" s="22" t="n"/>
      <c r="V39" s="22" t="n"/>
      <c r="W39" s="22" t="n"/>
      <c r="X39" s="22" t="n"/>
      <c r="Y39" s="22" t="n"/>
      <c r="Z39" s="20" t="n"/>
      <c r="AA39" s="20" t="n"/>
      <c r="AB39" s="20" t="n"/>
      <c r="AC39" s="20" t="n"/>
      <c r="AD39" s="46" t="n"/>
      <c r="AE39" s="46" t="n"/>
      <c r="AF39" s="46" t="n"/>
      <c r="AG39" s="46" t="n"/>
      <c r="AH39" s="46" t="n"/>
      <c r="AI39" s="14" t="n"/>
    </row>
    <row r="40">
      <c r="A40" s="3" t="n"/>
      <c r="B40" s="2" t="n"/>
      <c r="C40" s="2" t="n"/>
      <c r="D40" s="2" t="n"/>
      <c r="E40" s="2" t="n"/>
      <c r="F40" s="2" t="n"/>
      <c r="G40" s="3" t="n"/>
      <c r="H40" s="3" t="n"/>
      <c r="I40" s="34" t="n"/>
      <c r="J40" s="50" t="n"/>
      <c r="K40" s="6" t="n"/>
      <c r="L40" s="6" t="n"/>
      <c r="M40" s="6" t="n"/>
      <c r="N40" s="6" t="n"/>
      <c r="O40" s="6" t="n"/>
      <c r="P40" s="45" t="n"/>
      <c r="Q40" s="45" t="n"/>
      <c r="R40" s="45" t="n"/>
      <c r="S40" s="45" t="n"/>
      <c r="T40" s="45" t="n"/>
      <c r="U40" s="22" t="n"/>
      <c r="V40" s="22" t="n"/>
      <c r="W40" s="22" t="n"/>
      <c r="X40" s="22" t="n"/>
      <c r="Y40" s="22" t="n"/>
      <c r="Z40" s="20" t="n"/>
      <c r="AA40" s="20" t="n"/>
      <c r="AB40" s="20" t="n"/>
      <c r="AC40" s="20" t="n"/>
      <c r="AD40" s="46" t="n"/>
      <c r="AE40" s="46" t="n"/>
      <c r="AF40" s="46" t="n"/>
      <c r="AG40" s="46" t="n"/>
      <c r="AH40" s="46" t="n"/>
      <c r="AI40" s="14" t="n"/>
    </row>
    <row r="41">
      <c r="A41" s="3" t="n"/>
      <c r="B41" s="2" t="n"/>
      <c r="C41" s="2" t="n"/>
      <c r="D41" s="2" t="n"/>
      <c r="E41" s="2" t="n"/>
      <c r="F41" s="2" t="n"/>
      <c r="G41" s="3" t="n"/>
      <c r="H41" s="3" t="n"/>
      <c r="I41" s="34" t="n"/>
      <c r="J41" s="50" t="n"/>
      <c r="K41" s="6" t="n"/>
      <c r="L41" s="6" t="n"/>
      <c r="M41" s="6" t="n"/>
      <c r="N41" s="6" t="n"/>
      <c r="O41" s="6" t="n"/>
      <c r="P41" s="45" t="n"/>
      <c r="Q41" s="45" t="n"/>
      <c r="R41" s="45" t="n"/>
      <c r="S41" s="45" t="n"/>
      <c r="T41" s="45" t="n"/>
      <c r="U41" s="22" t="n"/>
      <c r="V41" s="22" t="n"/>
      <c r="W41" s="22" t="n"/>
      <c r="X41" s="22" t="n"/>
      <c r="Y41" s="22" t="n"/>
      <c r="Z41" s="20" t="n"/>
      <c r="AA41" s="20" t="n"/>
      <c r="AB41" s="20" t="n"/>
      <c r="AC41" s="20" t="n"/>
      <c r="AD41" s="46" t="n"/>
      <c r="AE41" s="46" t="n"/>
      <c r="AF41" s="46" t="n"/>
      <c r="AG41" s="46" t="n"/>
      <c r="AH41" s="46" t="n"/>
      <c r="AI41" s="14" t="n"/>
    </row>
    <row r="42">
      <c r="A42" s="3" t="n"/>
      <c r="B42" s="2" t="n"/>
      <c r="C42" s="2" t="n"/>
      <c r="D42" s="2" t="n"/>
      <c r="E42" s="2" t="n"/>
      <c r="F42" s="2" t="n"/>
      <c r="G42" s="3" t="n"/>
      <c r="H42" s="3" t="n"/>
      <c r="I42" s="34" t="n"/>
      <c r="J42" s="50" t="n"/>
      <c r="K42" s="6" t="n"/>
      <c r="L42" s="6" t="n"/>
      <c r="M42" s="6" t="n"/>
      <c r="N42" s="6" t="n"/>
      <c r="O42" s="6" t="n"/>
      <c r="P42" s="45" t="n"/>
      <c r="Q42" s="45" t="n"/>
      <c r="R42" s="45" t="n"/>
      <c r="S42" s="45" t="n"/>
      <c r="T42" s="45" t="n"/>
      <c r="U42" s="22" t="n"/>
      <c r="V42" s="22" t="n"/>
      <c r="W42" s="22" t="n"/>
      <c r="X42" s="22" t="n"/>
      <c r="Y42" s="22" t="n"/>
      <c r="Z42" s="20" t="n"/>
      <c r="AA42" s="20" t="n"/>
      <c r="AB42" s="20" t="n"/>
      <c r="AC42" s="20" t="n"/>
      <c r="AD42" s="46" t="n"/>
      <c r="AE42" s="46" t="n"/>
      <c r="AF42" s="46" t="n"/>
      <c r="AG42" s="46" t="n"/>
      <c r="AH42" s="46" t="n"/>
      <c r="AI42" s="14" t="n"/>
    </row>
    <row r="43">
      <c r="A43" s="3" t="n"/>
      <c r="B43" s="2" t="n"/>
      <c r="C43" s="2" t="n"/>
      <c r="D43" s="2" t="n"/>
      <c r="E43" s="2" t="n"/>
      <c r="F43" s="2" t="n"/>
      <c r="G43" s="3" t="n"/>
      <c r="H43" s="3" t="n"/>
      <c r="I43" s="34" t="n"/>
      <c r="J43" s="50" t="n"/>
      <c r="K43" s="6" t="n"/>
      <c r="L43" s="6" t="n"/>
      <c r="M43" s="6" t="n"/>
      <c r="N43" s="6" t="n"/>
      <c r="O43" s="6" t="n"/>
      <c r="P43" s="45" t="n"/>
      <c r="Q43" s="45" t="n"/>
      <c r="R43" s="45" t="n"/>
      <c r="S43" s="45" t="n"/>
      <c r="T43" s="45" t="n"/>
      <c r="U43" s="22" t="n"/>
      <c r="V43" s="22" t="n"/>
      <c r="W43" s="22" t="n"/>
      <c r="X43" s="22" t="n"/>
      <c r="Y43" s="22" t="n"/>
      <c r="Z43" s="20" t="n"/>
      <c r="AA43" s="20" t="n"/>
      <c r="AB43" s="20" t="n"/>
      <c r="AC43" s="20" t="n"/>
      <c r="AD43" s="46" t="n"/>
      <c r="AE43" s="46" t="n"/>
      <c r="AF43" s="46" t="n"/>
      <c r="AG43" s="46" t="n"/>
      <c r="AH43" s="46" t="n"/>
      <c r="AI43" s="14" t="n"/>
    </row>
  </sheetData>
  <mergeCells count="17">
    <mergeCell ref="P4:T4"/>
    <mergeCell ref="B4:B5"/>
    <mergeCell ref="U4:Y4"/>
    <mergeCell ref="C4:C5"/>
    <mergeCell ref="A4:A5"/>
    <mergeCell ref="F4:F5"/>
    <mergeCell ref="D4:D5"/>
    <mergeCell ref="J4:J5"/>
    <mergeCell ref="I4:I5"/>
    <mergeCell ref="Z4:AC4"/>
    <mergeCell ref="E4:E5"/>
    <mergeCell ref="AI4:AI5"/>
    <mergeCell ref="G4:G5"/>
    <mergeCell ref="B2:H2"/>
    <mergeCell ref="H4:H5"/>
    <mergeCell ref="AD4:AH4"/>
    <mergeCell ref="K4: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"/>
  <sheetViews>
    <sheetView zoomScaleNormal="100" workbookViewId="0">
      <selection activeCell="A1" sqref="A1"/>
    </sheetView>
  </sheetViews>
  <sheetFormatPr baseColWidth="8" defaultRowHeight="14.4"/>
  <cols>
    <col width="14.33203125" customWidth="1" style="1" min="1" max="1"/>
    <col width="16.109375" customWidth="1" min="2" max="2"/>
    <col width="17.109375" customWidth="1" min="3" max="3"/>
    <col width="17.6640625" bestFit="1" customWidth="1" min="4" max="4"/>
    <col width="29.5546875" customWidth="1" min="5" max="5"/>
    <col width="17.33203125" customWidth="1" min="6" max="6"/>
    <col width="13.33203125" bestFit="1" customWidth="1" min="7" max="7"/>
    <col width="13.33203125" customWidth="1" style="1" min="8" max="8"/>
    <col width="13.6640625" customWidth="1" style="1" min="9" max="9"/>
    <col width="6.6640625" bestFit="1" customWidth="1" min="10" max="10"/>
    <col width="8.33203125" bestFit="1" customWidth="1" min="11" max="11"/>
    <col width="9.33203125" bestFit="1" customWidth="1" min="12" max="12"/>
    <col width="8.33203125" customWidth="1" min="13" max="13"/>
    <col width="20" customWidth="1" min="14" max="14"/>
    <col width="6.6640625" bestFit="1" customWidth="1" min="15" max="15"/>
    <col width="8.33203125" bestFit="1" customWidth="1" min="16" max="16"/>
    <col width="9.33203125" bestFit="1" customWidth="1" min="17" max="17"/>
    <col width="7.6640625" bestFit="1" customWidth="1" min="18" max="18"/>
    <col width="24.5546875" customWidth="1" min="19" max="19"/>
    <col width="6.6640625" bestFit="1" customWidth="1" min="20" max="20"/>
    <col width="8.33203125" bestFit="1" customWidth="1" min="21" max="21"/>
    <col width="9.33203125" bestFit="1" customWidth="1" min="22" max="22"/>
    <col width="7.6640625" bestFit="1" customWidth="1" min="23" max="23"/>
    <col width="13.44140625" customWidth="1" min="24" max="24"/>
    <col width="6.6640625" bestFit="1" customWidth="1" min="25" max="25"/>
    <col width="8.33203125" bestFit="1" customWidth="1" min="26" max="26"/>
    <col width="9.33203125" bestFit="1" customWidth="1" min="27" max="27"/>
    <col width="7.6640625" bestFit="1" customWidth="1" min="28" max="28"/>
    <col width="13.6640625" customWidth="1" min="29" max="29"/>
    <col width="9.109375" customWidth="1" min="30" max="30"/>
    <col width="8" customWidth="1" min="31" max="31"/>
    <col width="10" customWidth="1" min="32" max="32"/>
    <col width="8.109375" customWidth="1" min="33" max="33"/>
    <col width="14.109375" customWidth="1" min="34" max="34"/>
  </cols>
  <sheetData>
    <row r="1">
      <c r="B1" s="43" t="n"/>
      <c r="G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4" t="n"/>
    </row>
    <row r="2" ht="16.2" customHeight="1">
      <c r="B2" s="68" t="inlineStr">
        <is>
          <t>Tempo de Transporte de Amostras por Unidade Sanitária (Semana: 13 Julho - 19 Julho)</t>
        </is>
      </c>
      <c r="I2" s="68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4" t="n"/>
    </row>
    <row r="3">
      <c r="B3" s="43" t="n"/>
      <c r="G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4" t="n"/>
    </row>
    <row r="4" ht="18" customHeight="1">
      <c r="A4" s="69" t="inlineStr">
        <is>
          <t>CODIGO DO SISMA</t>
        </is>
      </c>
      <c r="B4" s="78" t="inlineStr">
        <is>
          <t>DATIM ID</t>
        </is>
      </c>
      <c r="C4" s="71" t="inlineStr">
        <is>
          <t>PROVINCIA</t>
        </is>
      </c>
      <c r="D4" s="71" t="inlineStr">
        <is>
          <t>DISTRITO</t>
        </is>
      </c>
      <c r="E4" s="71" t="inlineStr">
        <is>
          <t>U. SANITARIA</t>
        </is>
      </c>
      <c r="F4" s="71" t="inlineStr">
        <is>
          <t>LABORATÓRIO DE TESTAGEM</t>
        </is>
      </c>
      <c r="G4" s="72" t="inlineStr">
        <is>
          <t>TIPO DE TESTE</t>
        </is>
      </c>
      <c r="H4" s="72" t="inlineStr">
        <is>
          <t>Total de Amostras</t>
        </is>
      </c>
      <c r="I4" s="72" t="inlineStr">
        <is>
          <t>Amostras com Data de Colheita</t>
        </is>
      </c>
      <c r="J4" s="58" t="inlineStr">
        <is>
          <t>Colheita à Recepção no Disalink</t>
        </is>
      </c>
      <c r="K4" s="110" t="n"/>
      <c r="L4" s="110" t="n"/>
      <c r="M4" s="110" t="n"/>
      <c r="N4" s="111" t="n"/>
      <c r="O4" s="58" t="inlineStr">
        <is>
          <t>Recepção no DisaLink ao Registo no DisaLink</t>
        </is>
      </c>
      <c r="P4" s="110" t="n"/>
      <c r="Q4" s="110" t="n"/>
      <c r="R4" s="110" t="n"/>
      <c r="S4" s="111" t="n"/>
      <c r="T4" s="58" t="inlineStr">
        <is>
          <t>Registo no DisaLink à Recepção no Lab</t>
        </is>
      </c>
      <c r="U4" s="110" t="n"/>
      <c r="V4" s="110" t="n"/>
      <c r="W4" s="110" t="n"/>
      <c r="X4" s="111" t="n"/>
      <c r="Y4" s="58" t="inlineStr">
        <is>
          <t>Recepção no Lab ao Registo no Lab</t>
        </is>
      </c>
      <c r="Z4" s="110" t="n"/>
      <c r="AA4" s="110" t="n"/>
      <c r="AB4" s="110" t="n"/>
      <c r="AC4" s="111" t="n"/>
      <c r="AD4" s="58" t="inlineStr">
        <is>
          <t>Colheita à Recepção no Lab</t>
        </is>
      </c>
      <c r="AE4" s="110" t="n"/>
      <c r="AF4" s="110" t="n"/>
      <c r="AG4" s="110" t="n"/>
      <c r="AH4" s="111" t="n"/>
    </row>
    <row r="5" ht="34.2" customHeight="1">
      <c r="A5" s="112" t="n"/>
      <c r="B5" s="112" t="n"/>
      <c r="C5" s="112" t="n"/>
      <c r="D5" s="112" t="n"/>
      <c r="E5" s="112" t="n"/>
      <c r="F5" s="112" t="n"/>
      <c r="G5" s="112" t="n"/>
      <c r="H5" s="112" t="n"/>
      <c r="I5" s="112" t="n"/>
      <c r="J5" s="58" t="inlineStr">
        <is>
          <t>&lt;7 dias</t>
        </is>
      </c>
      <c r="K5" s="58" t="inlineStr">
        <is>
          <t>7-15 dias</t>
        </is>
      </c>
      <c r="L5" s="58" t="inlineStr">
        <is>
          <t>16-21 dias</t>
        </is>
      </c>
      <c r="M5" s="58" t="inlineStr">
        <is>
          <t>&gt;21 dias</t>
        </is>
      </c>
      <c r="N5" s="61" t="inlineStr">
        <is>
          <t>Sem data de Recepção no Dlink</t>
        </is>
      </c>
      <c r="O5" s="58" t="inlineStr">
        <is>
          <t>&lt;7 dias</t>
        </is>
      </c>
      <c r="P5" s="58" t="inlineStr">
        <is>
          <t>7-15 dias</t>
        </is>
      </c>
      <c r="Q5" s="58" t="inlineStr">
        <is>
          <t>16-21 dias</t>
        </is>
      </c>
      <c r="R5" s="58" t="inlineStr">
        <is>
          <t>&gt;21 dias</t>
        </is>
      </c>
      <c r="S5" s="61" t="inlineStr">
        <is>
          <t>Sem data de recepção/registo no Dlink</t>
        </is>
      </c>
      <c r="T5" s="58" t="inlineStr">
        <is>
          <t>&lt;7 dias</t>
        </is>
      </c>
      <c r="U5" s="58" t="inlineStr">
        <is>
          <t>7-15 dias</t>
        </is>
      </c>
      <c r="V5" s="58" t="inlineStr">
        <is>
          <t>16-21 dias</t>
        </is>
      </c>
      <c r="W5" s="58" t="inlineStr">
        <is>
          <t>&gt;21 dias</t>
        </is>
      </c>
      <c r="X5" s="61" t="inlineStr">
        <is>
          <t>Sem data de Recepção</t>
        </is>
      </c>
      <c r="Y5" s="58" t="inlineStr">
        <is>
          <t>&lt;7 dias</t>
        </is>
      </c>
      <c r="Z5" s="58" t="inlineStr">
        <is>
          <t>7-15 dias</t>
        </is>
      </c>
      <c r="AA5" s="58" t="inlineStr">
        <is>
          <t>16-21 dias</t>
        </is>
      </c>
      <c r="AB5" s="58" t="inlineStr">
        <is>
          <t>&gt;21 dias</t>
        </is>
      </c>
      <c r="AC5" s="61" t="inlineStr">
        <is>
          <t>Sem data de Recepção</t>
        </is>
      </c>
      <c r="AD5" s="61" t="inlineStr">
        <is>
          <t>&lt;7 dias</t>
        </is>
      </c>
      <c r="AE5" s="61" t="inlineStr">
        <is>
          <t>7-15 dias</t>
        </is>
      </c>
      <c r="AF5" s="61" t="inlineStr">
        <is>
          <t>16-21 dias</t>
        </is>
      </c>
      <c r="AG5" s="61" t="inlineStr">
        <is>
          <t>&gt;21 dias</t>
        </is>
      </c>
      <c r="AH5" s="61" t="inlineStr">
        <is>
          <t>Sem data de Recepção</t>
        </is>
      </c>
    </row>
    <row r="6">
      <c r="A6" s="3" t="n"/>
      <c r="B6" s="2" t="n"/>
      <c r="C6" s="2" t="n"/>
      <c r="D6" s="2" t="n"/>
      <c r="E6" s="2" t="n"/>
      <c r="F6" s="2" t="n"/>
      <c r="G6" s="2" t="n"/>
      <c r="H6" s="3" t="n"/>
      <c r="I6" s="50" t="n"/>
      <c r="J6" s="6" t="n"/>
      <c r="K6" s="6" t="n"/>
      <c r="L6" s="6" t="n"/>
      <c r="M6" s="6" t="n"/>
      <c r="N6" s="6" t="n"/>
      <c r="O6" s="45" t="n"/>
      <c r="P6" s="45" t="n"/>
      <c r="Q6" s="45" t="n"/>
      <c r="R6" s="45" t="n"/>
      <c r="S6" s="45" t="n"/>
      <c r="T6" s="22" t="n"/>
      <c r="U6" s="22" t="n"/>
      <c r="V6" s="22" t="n"/>
      <c r="W6" s="22" t="n"/>
      <c r="X6" s="22" t="n"/>
      <c r="Y6" s="20" t="n"/>
      <c r="Z6" s="20" t="n"/>
      <c r="AA6" s="20" t="n"/>
      <c r="AB6" s="20" t="n"/>
      <c r="AC6" s="20" t="n"/>
      <c r="AD6" s="46" t="n"/>
      <c r="AE6" s="46" t="n"/>
      <c r="AF6" s="46" t="n"/>
      <c r="AG6" s="46" t="n"/>
      <c r="AH6" s="46" t="n"/>
    </row>
  </sheetData>
  <mergeCells count="15">
    <mergeCell ref="J4:N4"/>
    <mergeCell ref="Y4:AC4"/>
    <mergeCell ref="B4:B5"/>
    <mergeCell ref="C4:C5"/>
    <mergeCell ref="A4:A5"/>
    <mergeCell ref="F4:F5"/>
    <mergeCell ref="D4:D5"/>
    <mergeCell ref="E4:E5"/>
    <mergeCell ref="G4:G5"/>
    <mergeCell ref="H4:H5"/>
    <mergeCell ref="I4:I5"/>
    <mergeCell ref="B2:H2"/>
    <mergeCell ref="AD4:AH4"/>
    <mergeCell ref="T4:X4"/>
    <mergeCell ref="O4:S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2019-11-25T03:43:56Z</dcterms:created>
  <dcterms:modified xsi:type="dcterms:W3CDTF">2025-07-30T18:34:51Z</dcterms:modified>
  <cp:lastModifiedBy>Muchanga, Lazar | APHL</cp:lastModifiedBy>
</cp:coreProperties>
</file>